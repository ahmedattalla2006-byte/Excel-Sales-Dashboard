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Linked-In\project 1\"/>
    </mc:Choice>
  </mc:AlternateContent>
  <xr:revisionPtr revIDLastSave="0" documentId="13_ncr:1_{7E0F7F97-FA6F-424B-960A-4F4418D6961C}" xr6:coauthVersionLast="47" xr6:coauthVersionMax="47" xr10:uidLastSave="{00000000-0000-0000-0000-000000000000}"/>
  <bookViews>
    <workbookView xWindow="-108" yWindow="-108" windowWidth="23256" windowHeight="13896" activeTab="4" xr2:uid="{C741C6DD-FEB1-4CFB-8BF3-D98DCB6A8DEE}"/>
  </bookViews>
  <sheets>
    <sheet name="Returns" sheetId="4" r:id="rId1"/>
    <sheet name="People" sheetId="3" r:id="rId2"/>
    <sheet name="Orders" sheetId="2" r:id="rId3"/>
    <sheet name="SMART Quiestion" sheetId="1" r:id="rId4"/>
    <sheet name="Dashboard" sheetId="6" r:id="rId5"/>
  </sheets>
  <definedNames>
    <definedName name="_xlcn.WorksheetConnection_Book1Orders1" hidden="1">Orders[]</definedName>
    <definedName name="_xlcn.WorksheetConnection_Book1People1" hidden="1">People[]</definedName>
    <definedName name="_xlcn.WorksheetConnection_Book1Returns1" hidden="1">Returns[]</definedName>
    <definedName name="ExternalData_1" localSheetId="2" hidden="1">Orders!$A$1:$X$794</definedName>
    <definedName name="ExternalData_2" localSheetId="1" hidden="1">People!$A$1:$B$5</definedName>
    <definedName name="ExternalData_3" localSheetId="0" hidden="1">'Returns'!$A$1:$B$801</definedName>
    <definedName name="Slicer_Category">#N/A</definedName>
    <definedName name="Slicer_Person">#N/A</definedName>
    <definedName name="Slicer_Region">#N/A</definedName>
    <definedName name="Slicer_Returned">#N/A</definedName>
  </definedNames>
  <calcPr calcId="191029"/>
  <pivotCaches>
    <pivotCache cacheId="2166" r:id="rId6"/>
    <pivotCache cacheId="2169" r:id="rId7"/>
    <pivotCache cacheId="2172" r:id="rId8"/>
    <pivotCache cacheId="2175" r:id="rId9"/>
    <pivotCache cacheId="2178" r:id="rId10"/>
    <pivotCache cacheId="2181" r:id="rId11"/>
    <pivotCache cacheId="2184" r:id="rId12"/>
    <pivotCache cacheId="2187" r:id="rId13"/>
    <pivotCache cacheId="2190" r:id="rId14"/>
    <pivotCache cacheId="2193" r:id="rId15"/>
    <pivotCache cacheId="2196" r:id="rId16"/>
    <pivotCache cacheId="2199"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Book1!Returns"/>
          <x15:modelTable id="People" name="People" connection="WorksheetConnection_Book1!People"/>
          <x15:modelTable id="Orders" name="Orders" connection="WorksheetConnection_Book1!Orders"/>
        </x15:modelTables>
        <x15:modelRelationships>
          <x15:modelRelationship fromTable="Orders" fromColumn="Order ID" toTable="Returns" toColumn="Order ID"/>
          <x15:modelRelationship fromTable="Orders" fromColumn="Region" toTable="People"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8" i="1" l="1"/>
  <c r="B8" i="1"/>
  <c r="G8" i="1"/>
  <c r="F7" i="1"/>
  <c r="F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0CD92D-4959-40B5-A91F-C37CFE2C1CA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C72922A8-0362-41B3-BBC2-01549C8544E9}"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B5020D2D-CFFC-4F83-960D-4BBE1B444A49}"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188276A6-2167-45AB-A001-64F9F7EB52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0513BE85-2C4D-4F7F-B5B7-C1F0C44166CE}"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6" xr16:uid="{576805D1-6B27-4739-9AAE-A4FC781D18DF}" name="WorksheetConnection_Book1!People" type="102" refreshedVersion="8" minRefreshableVersion="5">
    <extLst>
      <ext xmlns:x15="http://schemas.microsoft.com/office/spreadsheetml/2010/11/main" uri="{DE250136-89BD-433C-8126-D09CA5730AF9}">
        <x15:connection id="People">
          <x15:rangePr sourceName="_xlcn.WorksheetConnection_Book1People1"/>
        </x15:connection>
      </ext>
    </extLst>
  </connection>
  <connection id="7" xr16:uid="{8166B8B6-F702-4E63-876C-895DE04860C2}" name="WorksheetConnection_Book1!Returns" type="102" refreshedVersion="8" minRefreshableVersion="5">
    <extLst>
      <ext xmlns:x15="http://schemas.microsoft.com/office/spreadsheetml/2010/11/main" uri="{DE250136-89BD-433C-8126-D09CA5730AF9}">
        <x15:connection id="Returns">
          <x15:rangePr sourceName="_xlcn.WorksheetConnection_Book1Returns1"/>
        </x15:connection>
      </ext>
    </extLst>
  </connection>
</connections>
</file>

<file path=xl/sharedStrings.xml><?xml version="1.0" encoding="utf-8"?>
<sst xmlns="http://schemas.openxmlformats.org/spreadsheetml/2006/main" count="13715" uniqueCount="5369">
  <si>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</si>
  <si>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</si>
  <si>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</si>
  <si>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</si>
  <si>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</si>
  <si>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</si>
  <si>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</si>
  <si>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</si>
  <si>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</si>
  <si>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</si>
  <si>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</si>
  <si>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</si>
  <si>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</si>
  <si>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</si>
  <si>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</si>
  <si>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</si>
  <si>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</si>
  <si>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</si>
  <si>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</si>
  <si>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</si>
  <si>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</si>
  <si>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COGS</t>
  </si>
  <si>
    <t>Net Sales</t>
  </si>
  <si>
    <t>Cost Per Unit</t>
  </si>
  <si>
    <t>1</t>
  </si>
  <si>
    <t>CA-2018-152156</t>
  </si>
  <si>
    <t>Second Class</t>
  </si>
  <si>
    <t>CG-12520</t>
  </si>
  <si>
    <t>Claire Gute</t>
  </si>
  <si>
    <t>Consumer</t>
  </si>
  <si>
    <t>United States</t>
  </si>
  <si>
    <t>Henderson</t>
  </si>
  <si>
    <t>Kentucky</t>
  </si>
  <si>
    <t>42420</t>
  </si>
  <si>
    <t>South</t>
  </si>
  <si>
    <t>FUR-BO-10001798</t>
  </si>
  <si>
    <t>Furniture</t>
  </si>
  <si>
    <t>Bookcases</t>
  </si>
  <si>
    <t>Bush Somerset Collection Bookcase</t>
  </si>
  <si>
    <t>3</t>
  </si>
  <si>
    <t>CA-2018-138688</t>
  </si>
  <si>
    <t>DV-13045</t>
  </si>
  <si>
    <t>Darrin Van Huff</t>
  </si>
  <si>
    <t>Corporate</t>
  </si>
  <si>
    <t>Los Angeles</t>
  </si>
  <si>
    <t>California</t>
  </si>
  <si>
    <t>90036</t>
  </si>
  <si>
    <t>West</t>
  </si>
  <si>
    <t>OFF-LA-10000240</t>
  </si>
  <si>
    <t>Office Supplies</t>
  </si>
  <si>
    <t>Labels</t>
  </si>
  <si>
    <t>Self-Adhesive Address Labels for Typewriters by Universal</t>
  </si>
  <si>
    <t>4</t>
  </si>
  <si>
    <t>US-2017-108966</t>
  </si>
  <si>
    <t>Standard Class</t>
  </si>
  <si>
    <t>SO-20335</t>
  </si>
  <si>
    <t>Sean O'Donnell</t>
  </si>
  <si>
    <t>Fort Lauderdale</t>
  </si>
  <si>
    <t>Florida</t>
  </si>
  <si>
    <t>33311</t>
  </si>
  <si>
    <t>FUR-TA-10000577</t>
  </si>
  <si>
    <t>Tables</t>
  </si>
  <si>
    <t>Bretford CR4500 Series Slim Rectangular Table</t>
  </si>
  <si>
    <t>6</t>
  </si>
  <si>
    <t>CA-2016-115812</t>
  </si>
  <si>
    <t>BH-11710</t>
  </si>
  <si>
    <t>Brosina Hoffman</t>
  </si>
  <si>
    <t>90032</t>
  </si>
  <si>
    <t>FUR-FU-10001487</t>
  </si>
  <si>
    <t>Furnishings</t>
  </si>
  <si>
    <t>Eldon Expressions Wood and Plastic Desk Accessories, Cherry Wood</t>
  </si>
  <si>
    <t>13</t>
  </si>
  <si>
    <t>CA-2019-114412</t>
  </si>
  <si>
    <t>AA-10480</t>
  </si>
  <si>
    <t>Andrew Allen</t>
  </si>
  <si>
    <t>Concord</t>
  </si>
  <si>
    <t>North Carolina</t>
  </si>
  <si>
    <t>28027</t>
  </si>
  <si>
    <t>OFF-PA-10002365</t>
  </si>
  <si>
    <t>Paper</t>
  </si>
  <si>
    <t>Xerox 1967</t>
  </si>
  <si>
    <t>14</t>
  </si>
  <si>
    <t>CA-2018-161389</t>
  </si>
  <si>
    <t>IM-15070</t>
  </si>
  <si>
    <t>Irene Maddox</t>
  </si>
  <si>
    <t>Seattle</t>
  </si>
  <si>
    <t>Washington</t>
  </si>
  <si>
    <t>98103</t>
  </si>
  <si>
    <t>OFF-BI-10003656</t>
  </si>
  <si>
    <t>Binders</t>
  </si>
  <si>
    <t>Fellowes PB200 Plastic Comb Binding Machine</t>
  </si>
  <si>
    <t>15</t>
  </si>
  <si>
    <t>US-2017-118983</t>
  </si>
  <si>
    <t>HP-14815</t>
  </si>
  <si>
    <t>Harold Pawlan</t>
  </si>
  <si>
    <t>Home Office</t>
  </si>
  <si>
    <t>Fort Worth</t>
  </si>
  <si>
    <t>Texas</t>
  </si>
  <si>
    <t>76106</t>
  </si>
  <si>
    <t>Central</t>
  </si>
  <si>
    <t>OFF-AP-10002311</t>
  </si>
  <si>
    <t>Appliances</t>
  </si>
  <si>
    <t>Holmes Replacement Filter for HEPA Air Cleaner, Very Large Room, HEPA Filter</t>
  </si>
  <si>
    <t>17</t>
  </si>
  <si>
    <t>CA-2016-105893</t>
  </si>
  <si>
    <t>PK-19075</t>
  </si>
  <si>
    <t>Pete Kriz</t>
  </si>
  <si>
    <t>Madison</t>
  </si>
  <si>
    <t>Wisconsin</t>
  </si>
  <si>
    <t>53711</t>
  </si>
  <si>
    <t>OFF-ST-10004186</t>
  </si>
  <si>
    <t>Storage</t>
  </si>
  <si>
    <t>Stur-D-Stor Shelving, Vertical 5-Shelf: 72"H x 36"W x 18 1/2"D</t>
  </si>
  <si>
    <t>18</t>
  </si>
  <si>
    <t>CA-2016-167164</t>
  </si>
  <si>
    <t>AG-10270</t>
  </si>
  <si>
    <t>Alejandro Grove</t>
  </si>
  <si>
    <t>West Jordan</t>
  </si>
  <si>
    <t>Utah</t>
  </si>
  <si>
    <t>84084</t>
  </si>
  <si>
    <t>OFF-ST-10000107</t>
  </si>
  <si>
    <t>Fellowes Super Stor/Drawer</t>
  </si>
  <si>
    <t>19</t>
  </si>
  <si>
    <t>CA-2016-143336</t>
  </si>
  <si>
    <t>ZD-21925</t>
  </si>
  <si>
    <t>Zuschuss Donatelli</t>
  </si>
  <si>
    <t>San Francisco</t>
  </si>
  <si>
    <t>94109</t>
  </si>
  <si>
    <t>OFF-AR-10003056</t>
  </si>
  <si>
    <t>Art</t>
  </si>
  <si>
    <t>Newell 341</t>
  </si>
  <si>
    <t>22</t>
  </si>
  <si>
    <t>CA-2018-137330</t>
  </si>
  <si>
    <t>KB-16585</t>
  </si>
  <si>
    <t>Ken Black</t>
  </si>
  <si>
    <t>Fremont</t>
  </si>
  <si>
    <t>Nebraska</t>
  </si>
  <si>
    <t>68025</t>
  </si>
  <si>
    <t>OFF-AR-10000246</t>
  </si>
  <si>
    <t>Newell 318</t>
  </si>
  <si>
    <t>24</t>
  </si>
  <si>
    <t>US-2019-156909</t>
  </si>
  <si>
    <t>SF-20065</t>
  </si>
  <si>
    <t>Sandra Flanagan</t>
  </si>
  <si>
    <t>Philadelphia</t>
  </si>
  <si>
    <t>Pennsylvania</t>
  </si>
  <si>
    <t>19140</t>
  </si>
  <si>
    <t>East</t>
  </si>
  <si>
    <t>FUR-CH-10002774</t>
  </si>
  <si>
    <t>Chairs</t>
  </si>
  <si>
    <t>Global Deluxe Stacking Chair, Gray</t>
  </si>
  <si>
    <t>25</t>
  </si>
  <si>
    <t>CA-2017-106320</t>
  </si>
  <si>
    <t>EB-13870</t>
  </si>
  <si>
    <t>Emily Burns</t>
  </si>
  <si>
    <t>Orem</t>
  </si>
  <si>
    <t>84057</t>
  </si>
  <si>
    <t>26</t>
  </si>
  <si>
    <t>CA-2018-121755</t>
  </si>
  <si>
    <t>EH-13945</t>
  </si>
  <si>
    <t>Eric Hoffmann</t>
  </si>
  <si>
    <t>90049</t>
  </si>
  <si>
    <t>OFF-BI-10001634</t>
  </si>
  <si>
    <t>Wilson Jones Active Use Binders</t>
  </si>
  <si>
    <t>28</t>
  </si>
  <si>
    <t>US-2017-150630</t>
  </si>
  <si>
    <t>TB-21520</t>
  </si>
  <si>
    <t>Tracy Blumstein</t>
  </si>
  <si>
    <t>FUR-BO-10004834</t>
  </si>
  <si>
    <t>Riverside Palais Royal Lawyers Bookcase, Royale Cherry Finish</t>
  </si>
  <si>
    <t>35</t>
  </si>
  <si>
    <t>CA-2019-107727</t>
  </si>
  <si>
    <t>MA-17560</t>
  </si>
  <si>
    <t>Matt Abelman</t>
  </si>
  <si>
    <t>Houston</t>
  </si>
  <si>
    <t>77095</t>
  </si>
  <si>
    <t>OFF-PA-10000249</t>
  </si>
  <si>
    <t>Easy-staple paper</t>
  </si>
  <si>
    <t>36</t>
  </si>
  <si>
    <t>CA-2018-117590</t>
  </si>
  <si>
    <t>First Class</t>
  </si>
  <si>
    <t>GH-14485</t>
  </si>
  <si>
    <t>Gene Hale</t>
  </si>
  <si>
    <t>Richardson</t>
  </si>
  <si>
    <t>75080</t>
  </si>
  <si>
    <t>TEC-PH-10004977</t>
  </si>
  <si>
    <t>Technology</t>
  </si>
  <si>
    <t>Phones</t>
  </si>
  <si>
    <t>GE 30524EE4</t>
  </si>
  <si>
    <t>38</t>
  </si>
  <si>
    <t>CA-2017-117415</t>
  </si>
  <si>
    <t>SN-20710</t>
  </si>
  <si>
    <t>Steve Nguyen</t>
  </si>
  <si>
    <t>77041</t>
  </si>
  <si>
    <t>OFF-EN-10002986</t>
  </si>
  <si>
    <t>Envelopes</t>
  </si>
  <si>
    <t>#10-4 1/8" x 9 1/2" Premium Diagonal Seam Envelopes</t>
  </si>
  <si>
    <t>42</t>
  </si>
  <si>
    <t>CA-2019-120999</t>
  </si>
  <si>
    <t>LC-16930</t>
  </si>
  <si>
    <t>Linda Cazamias</t>
  </si>
  <si>
    <t>Naperville</t>
  </si>
  <si>
    <t>Illinois</t>
  </si>
  <si>
    <t>60540</t>
  </si>
  <si>
    <t>TEC-PH-10004093</t>
  </si>
  <si>
    <t>Panasonic Kx-TS550</t>
  </si>
  <si>
    <t>43</t>
  </si>
  <si>
    <t>CA-2018-101343</t>
  </si>
  <si>
    <t>RA-19885</t>
  </si>
  <si>
    <t>Ruben Ausman</t>
  </si>
  <si>
    <t>OFF-ST-10003479</t>
  </si>
  <si>
    <t>Eldon Base for stackable storage shelf, platinum</t>
  </si>
  <si>
    <t>44</t>
  </si>
  <si>
    <t>CA-2019-139619</t>
  </si>
  <si>
    <t>ES-14080</t>
  </si>
  <si>
    <t>Erin Smith</t>
  </si>
  <si>
    <t>Melbourne</t>
  </si>
  <si>
    <t>32935</t>
  </si>
  <si>
    <t>OFF-ST-10003282</t>
  </si>
  <si>
    <t>Advantus 10-Drawer Portable Organizer, Chrome Metal Frame, Smoke Drawers</t>
  </si>
  <si>
    <t>45</t>
  </si>
  <si>
    <t>CA-2018-118255</t>
  </si>
  <si>
    <t>ON-18715</t>
  </si>
  <si>
    <t>Odella Nelson</t>
  </si>
  <si>
    <t>Eagan</t>
  </si>
  <si>
    <t>Minnesota</t>
  </si>
  <si>
    <t>55122</t>
  </si>
  <si>
    <t>TEC-AC-10000171</t>
  </si>
  <si>
    <t>Accessories</t>
  </si>
  <si>
    <t>Verbatim 25 GB 6x Blu-ray Single Layer Recordable Disc, 25/Pack</t>
  </si>
  <si>
    <t>47</t>
  </si>
  <si>
    <t>CA-2016-146703</t>
  </si>
  <si>
    <t>PO-18865</t>
  </si>
  <si>
    <t>Patrick O'Donnell</t>
  </si>
  <si>
    <t>Westland</t>
  </si>
  <si>
    <t>Michigan</t>
  </si>
  <si>
    <t>48185</t>
  </si>
  <si>
    <t>OFF-ST-10001713</t>
  </si>
  <si>
    <t>Gould Plastics 9-Pocket Panel Bin, 18-3/8w x 5-1/4d x 20-1/2h, Black</t>
  </si>
  <si>
    <t>48</t>
  </si>
  <si>
    <t>CA-2018-169194</t>
  </si>
  <si>
    <t>LH-16900</t>
  </si>
  <si>
    <t>Lena Hernandez</t>
  </si>
  <si>
    <t>Dover</t>
  </si>
  <si>
    <t>Delaware</t>
  </si>
  <si>
    <t>19901</t>
  </si>
  <si>
    <t>TEC-AC-10002167</t>
  </si>
  <si>
    <t>Imation 8gb Micro Traveldrive Usb 2.0 Flash Drive</t>
  </si>
  <si>
    <t>50</t>
  </si>
  <si>
    <t>CA-2017-115742</t>
  </si>
  <si>
    <t>DP-13000</t>
  </si>
  <si>
    <t>Darren Powers</t>
  </si>
  <si>
    <t>New Albany</t>
  </si>
  <si>
    <t>Indiana</t>
  </si>
  <si>
    <t>47150</t>
  </si>
  <si>
    <t>OFF-BI-10004410</t>
  </si>
  <si>
    <t>C-Line Peel &amp; Stick Add-On Filing Pockets, 8-3/4 x 5-1/8, 10/Pack</t>
  </si>
  <si>
    <t>54</t>
  </si>
  <si>
    <t>CA-2018-105816</t>
  </si>
  <si>
    <t>JM-15265</t>
  </si>
  <si>
    <t>Janet Molinari</t>
  </si>
  <si>
    <t>New York City</t>
  </si>
  <si>
    <t>New York</t>
  </si>
  <si>
    <t>10024</t>
  </si>
  <si>
    <t>OFF-FA-10000304</t>
  </si>
  <si>
    <t>Fasteners</t>
  </si>
  <si>
    <t>Advantus Push Pins</t>
  </si>
  <si>
    <t>56</t>
  </si>
  <si>
    <t>CA-2018-111682</t>
  </si>
  <si>
    <t>TB-21055</t>
  </si>
  <si>
    <t>Ted Butterfield</t>
  </si>
  <si>
    <t>Troy</t>
  </si>
  <si>
    <t>12180</t>
  </si>
  <si>
    <t>OFF-ST-10000604</t>
  </si>
  <si>
    <t>Home/Office Personal File Carts</t>
  </si>
  <si>
    <t>63</t>
  </si>
  <si>
    <t>CA-2017-135545</t>
  </si>
  <si>
    <t>KM-16720</t>
  </si>
  <si>
    <t>Kunst Miller</t>
  </si>
  <si>
    <t>90004</t>
  </si>
  <si>
    <t>TEC-AC-10004633</t>
  </si>
  <si>
    <t>Verbatim 25 GB 6x Blu-ray Single Layer Recordable Disc, 3/Pack</t>
  </si>
  <si>
    <t>67</t>
  </si>
  <si>
    <t>US-2017-164175</t>
  </si>
  <si>
    <t>PS-18970</t>
  </si>
  <si>
    <t>Paul Stevenson</t>
  </si>
  <si>
    <t>Chicago</t>
  </si>
  <si>
    <t>60610</t>
  </si>
  <si>
    <t>FUR-CH-10001146</t>
  </si>
  <si>
    <t>Global Value Mid-Back Manager's Chair, Gray</t>
  </si>
  <si>
    <t>68</t>
  </si>
  <si>
    <t>CA-2016-106376</t>
  </si>
  <si>
    <t>BS-11590</t>
  </si>
  <si>
    <t>Brendan Sweed</t>
  </si>
  <si>
    <t>Gilbert</t>
  </si>
  <si>
    <t>Arizona</t>
  </si>
  <si>
    <t>85234</t>
  </si>
  <si>
    <t>OFF-AR-10002671</t>
  </si>
  <si>
    <t>Hunt BOSTON Model 1606 High-Volume Electric Pencil Sharpener, Beige</t>
  </si>
  <si>
    <t>70</t>
  </si>
  <si>
    <t>CA-2018-119823</t>
  </si>
  <si>
    <t>KD-16270</t>
  </si>
  <si>
    <t>Karen Daniels</t>
  </si>
  <si>
    <t>Springfield</t>
  </si>
  <si>
    <t>Virginia</t>
  </si>
  <si>
    <t>22153</t>
  </si>
  <si>
    <t>OFF-PA-10000482</t>
  </si>
  <si>
    <t>Snap-A-Way Black Print Carbonless Ruled Speed Letter, Triplicate</t>
  </si>
  <si>
    <t>71</t>
  </si>
  <si>
    <t>CA-2018-106075</t>
  </si>
  <si>
    <t>HM-14980</t>
  </si>
  <si>
    <t>Henry MacAllister</t>
  </si>
  <si>
    <t>10009</t>
  </si>
  <si>
    <t>OFF-BI-10004654</t>
  </si>
  <si>
    <t>Avery Binding System Hidden Tab Executive Style Index Sets</t>
  </si>
  <si>
    <t>73</t>
  </si>
  <si>
    <t>US-2017-134026</t>
  </si>
  <si>
    <t>JE-15745</t>
  </si>
  <si>
    <t>Joel Eaton</t>
  </si>
  <si>
    <t>Memphis</t>
  </si>
  <si>
    <t>Tennessee</t>
  </si>
  <si>
    <t>38109</t>
  </si>
  <si>
    <t>FUR-CH-10000513</t>
  </si>
  <si>
    <t>High-Back Leather Manager's Chair</t>
  </si>
  <si>
    <t>76</t>
  </si>
  <si>
    <t>US-2019-118038</t>
  </si>
  <si>
    <t>KB-16600</t>
  </si>
  <si>
    <t>Ken Brennan</t>
  </si>
  <si>
    <t>OFF-BI-10004182</t>
  </si>
  <si>
    <t>Economy Binders</t>
  </si>
  <si>
    <t>80</t>
  </si>
  <si>
    <t>CA-2018-127208</t>
  </si>
  <si>
    <t>SC-20770</t>
  </si>
  <si>
    <t>Stewart Carmichael</t>
  </si>
  <si>
    <t>Decatur</t>
  </si>
  <si>
    <t>Alabama</t>
  </si>
  <si>
    <t>35601</t>
  </si>
  <si>
    <t>OFF-AP-10002118</t>
  </si>
  <si>
    <t>1.7 Cubic Foot Compact "Cube" Office Refrigerators</t>
  </si>
  <si>
    <t>82</t>
  </si>
  <si>
    <t>CA-2016-139451</t>
  </si>
  <si>
    <t>DN-13690</t>
  </si>
  <si>
    <t>Duane Noonan</t>
  </si>
  <si>
    <t>94122</t>
  </si>
  <si>
    <t>OFF-AR-10002053</t>
  </si>
  <si>
    <t>Premium Writing Pencils, Soft, #2 by Central Association for the Blind</t>
  </si>
  <si>
    <t>84</t>
  </si>
  <si>
    <t>CA-2017-149734</t>
  </si>
  <si>
    <t>JC-16105</t>
  </si>
  <si>
    <t>Julie Creighton</t>
  </si>
  <si>
    <t>Durham</t>
  </si>
  <si>
    <t>27707</t>
  </si>
  <si>
    <t>OFF-EN-10000927</t>
  </si>
  <si>
    <t>Jet-Pak Recycled Peel 'N' Seal Padded Mailers</t>
  </si>
  <si>
    <t>85</t>
  </si>
  <si>
    <t>US-2019-119662</t>
  </si>
  <si>
    <t>CS-12400</t>
  </si>
  <si>
    <t>Christopher Schild</t>
  </si>
  <si>
    <t>60623</t>
  </si>
  <si>
    <t>OFF-ST-10003656</t>
  </si>
  <si>
    <t>Safco Industrial Wire Shelving</t>
  </si>
  <si>
    <t>87</t>
  </si>
  <si>
    <t>CA-2019-155558</t>
  </si>
  <si>
    <t>PG-18895</t>
  </si>
  <si>
    <t>Paul Gonzalez</t>
  </si>
  <si>
    <t>Rochester</t>
  </si>
  <si>
    <t>55901</t>
  </si>
  <si>
    <t>TEC-AC-10001998</t>
  </si>
  <si>
    <t>Logitech LS21 Speaker System - PC Multimedia - 2.1-CH - Wired</t>
  </si>
  <si>
    <t>89</t>
  </si>
  <si>
    <t>CA-2018-159695</t>
  </si>
  <si>
    <t>GM-14455</t>
  </si>
  <si>
    <t>Gary Mitchum</t>
  </si>
  <si>
    <t>OFF-ST-10003442</t>
  </si>
  <si>
    <t>Eldon Portable Mobile Manager</t>
  </si>
  <si>
    <t>90</t>
  </si>
  <si>
    <t>CA-2018-109806</t>
  </si>
  <si>
    <t>JS-15685</t>
  </si>
  <si>
    <t>Jim Sink</t>
  </si>
  <si>
    <t>OFF-AR-10004930</t>
  </si>
  <si>
    <t>Turquoise Lead Holder with Pocket Clip</t>
  </si>
  <si>
    <t>93</t>
  </si>
  <si>
    <t>CA-2017-149587</t>
  </si>
  <si>
    <t>KB-16315</t>
  </si>
  <si>
    <t>Karl Braun</t>
  </si>
  <si>
    <t>Minneapolis</t>
  </si>
  <si>
    <t>55407</t>
  </si>
  <si>
    <t>OFF-PA-10003177</t>
  </si>
  <si>
    <t>Xerox 1999</t>
  </si>
  <si>
    <t>96</t>
  </si>
  <si>
    <t>US-2019-109484</t>
  </si>
  <si>
    <t>RB-19705</t>
  </si>
  <si>
    <t>Roger Barcio</t>
  </si>
  <si>
    <t>Portland</t>
  </si>
  <si>
    <t>Oregon</t>
  </si>
  <si>
    <t>97206</t>
  </si>
  <si>
    <t>OFF-BI-10004738</t>
  </si>
  <si>
    <t>Flexible Leather- Look Classic Collection Ring Binder</t>
  </si>
  <si>
    <t>97</t>
  </si>
  <si>
    <t>CA-2019-161018</t>
  </si>
  <si>
    <t>PN-18775</t>
  </si>
  <si>
    <t>Parhena Norris</t>
  </si>
  <si>
    <t>FUR-FU-10000629</t>
  </si>
  <si>
    <t>9-3/4 Diameter Round Wall Clock</t>
  </si>
  <si>
    <t>98</t>
  </si>
  <si>
    <t>CA-2019-157833</t>
  </si>
  <si>
    <t>KD-16345</t>
  </si>
  <si>
    <t>Katherine Ducich</t>
  </si>
  <si>
    <t>OFF-BI-10001721</t>
  </si>
  <si>
    <t>Trimflex Flexible Post Binders</t>
  </si>
  <si>
    <t>99</t>
  </si>
  <si>
    <t>CA-2018-149223</t>
  </si>
  <si>
    <t>ER-13855</t>
  </si>
  <si>
    <t>Elpida Rittenbach</t>
  </si>
  <si>
    <t>Saint Paul</t>
  </si>
  <si>
    <t>55106</t>
  </si>
  <si>
    <t>OFF-AP-10000358</t>
  </si>
  <si>
    <t>Fellowes Basic Home/Office Series Surge Protectors</t>
  </si>
  <si>
    <t>100</t>
  </si>
  <si>
    <t>CA-2018-158568</t>
  </si>
  <si>
    <t>RB-19465</t>
  </si>
  <si>
    <t>Rick Bensley</t>
  </si>
  <si>
    <t>OFF-PA-10003256</t>
  </si>
  <si>
    <t>Avery Personal Creations Heavyweight Cards</t>
  </si>
  <si>
    <t>103</t>
  </si>
  <si>
    <t>CA-2018-129903</t>
  </si>
  <si>
    <t>GZ-14470</t>
  </si>
  <si>
    <t>Gary Zandusky</t>
  </si>
  <si>
    <t>OFF-PA-10004040</t>
  </si>
  <si>
    <t>Universal Premium White Copier/Laser Paper (20Lb. and 87 Bright)</t>
  </si>
  <si>
    <t>104</t>
  </si>
  <si>
    <t>US-2017-156867</t>
  </si>
  <si>
    <t>LC-16870</t>
  </si>
  <si>
    <t>Lena Cacioppo</t>
  </si>
  <si>
    <t>Aurora</t>
  </si>
  <si>
    <t>Colorado</t>
  </si>
  <si>
    <t>80013</t>
  </si>
  <si>
    <t>TEC-AC-10001552</t>
  </si>
  <si>
    <t>Logitech K350 2.4Ghz Wireless Keyboard</t>
  </si>
  <si>
    <t>107</t>
  </si>
  <si>
    <t>CA-2019-119004</t>
  </si>
  <si>
    <t>JM-15250</t>
  </si>
  <si>
    <t>Janet Martin</t>
  </si>
  <si>
    <t>Charlotte</t>
  </si>
  <si>
    <t>28205</t>
  </si>
  <si>
    <t>TEC-AC-10003499</t>
  </si>
  <si>
    <t>Memorex Mini Travel Drive 8 GB USB 2.0 Flash Drive</t>
  </si>
  <si>
    <t>110</t>
  </si>
  <si>
    <t>CA-2017-129476</t>
  </si>
  <si>
    <t>PA-19060</t>
  </si>
  <si>
    <t>Pete Armstrong</t>
  </si>
  <si>
    <t>Orland Park</t>
  </si>
  <si>
    <t>60462</t>
  </si>
  <si>
    <t>TEC-AC-10000844</t>
  </si>
  <si>
    <t>Logitech Gaming G510s - Keyboard</t>
  </si>
  <si>
    <t>111</t>
  </si>
  <si>
    <t>CA-2019-146780</t>
  </si>
  <si>
    <t>CV-12805</t>
  </si>
  <si>
    <t>Cynthia Voltz</t>
  </si>
  <si>
    <t>10035</t>
  </si>
  <si>
    <t>FUR-FU-10001934</t>
  </si>
  <si>
    <t>Magnifier Swing Arm Lamp</t>
  </si>
  <si>
    <t>112</t>
  </si>
  <si>
    <t>CA-2018-128867</t>
  </si>
  <si>
    <t>CL-12565</t>
  </si>
  <si>
    <t>Clay Ludtke</t>
  </si>
  <si>
    <t>Urbandale</t>
  </si>
  <si>
    <t>Iowa</t>
  </si>
  <si>
    <t>50322</t>
  </si>
  <si>
    <t>OFF-AR-10000380</t>
  </si>
  <si>
    <t>Hunt PowerHouse Electric Pencil Sharpener, Blue</t>
  </si>
  <si>
    <t>114</t>
  </si>
  <si>
    <t>CA-2016-115259</t>
  </si>
  <si>
    <t>RC-19960</t>
  </si>
  <si>
    <t>Ryan Crowe</t>
  </si>
  <si>
    <t>Columbus</t>
  </si>
  <si>
    <t>Ohio</t>
  </si>
  <si>
    <t>43229</t>
  </si>
  <si>
    <t>OFF-FA-10000621</t>
  </si>
  <si>
    <t>OIC Colored Binder Clips, Assorted Sizes</t>
  </si>
  <si>
    <t>118</t>
  </si>
  <si>
    <t>CA-2017-110457</t>
  </si>
  <si>
    <t>DK-13090</t>
  </si>
  <si>
    <t>Dave Kipp</t>
  </si>
  <si>
    <t>FUR-TA-10001768</t>
  </si>
  <si>
    <t>Hon Racetrack Conference Tables</t>
  </si>
  <si>
    <t>119</t>
  </si>
  <si>
    <t>US-2017-136476</t>
  </si>
  <si>
    <t>GG-14650</t>
  </si>
  <si>
    <t>Greg Guthrie</t>
  </si>
  <si>
    <t>Bristol</t>
  </si>
  <si>
    <t>37620</t>
  </si>
  <si>
    <t>OFF-BI-10003650</t>
  </si>
  <si>
    <t>GBC DocuBind 300 Electric Binding Machine</t>
  </si>
  <si>
    <t>120</t>
  </si>
  <si>
    <t>CA-2018-103730</t>
  </si>
  <si>
    <t>SC-20725</t>
  </si>
  <si>
    <t>Steven Cartwright</t>
  </si>
  <si>
    <t>Wilmington</t>
  </si>
  <si>
    <t>19805</t>
  </si>
  <si>
    <t>FUR-FU-10002157</t>
  </si>
  <si>
    <t>Artistic Insta-Plaque</t>
  </si>
  <si>
    <t>125</t>
  </si>
  <si>
    <t>US-2016-152030</t>
  </si>
  <si>
    <t>AD-10180</t>
  </si>
  <si>
    <t>Alan Dominguez</t>
  </si>
  <si>
    <t>FUR-CH-10004063</t>
  </si>
  <si>
    <t>Global Deluxe High-Back Manager's Chair</t>
  </si>
  <si>
    <t>126</t>
  </si>
  <si>
    <t>US-2016-134614</t>
  </si>
  <si>
    <t>PF-19165</t>
  </si>
  <si>
    <t>Philip Fox</t>
  </si>
  <si>
    <t>Bloomington</t>
  </si>
  <si>
    <t>61701</t>
  </si>
  <si>
    <t>FUR-TA-10004534</t>
  </si>
  <si>
    <t>Bevis 44 x 96 Conference Tables</t>
  </si>
  <si>
    <t>127</t>
  </si>
  <si>
    <t>US-2019-107272</t>
  </si>
  <si>
    <t>TS-21610</t>
  </si>
  <si>
    <t>Troy Staebel</t>
  </si>
  <si>
    <t>Phoenix</t>
  </si>
  <si>
    <t>85023</t>
  </si>
  <si>
    <t>OFF-BI-10003274</t>
  </si>
  <si>
    <t>Avery Durable Slant Ring Binders, No Labels</t>
  </si>
  <si>
    <t>129</t>
  </si>
  <si>
    <t>US-2018-125969</t>
  </si>
  <si>
    <t>LS-16975</t>
  </si>
  <si>
    <t>Lindsay Shagiari</t>
  </si>
  <si>
    <t>Global Task Chair, Black</t>
  </si>
  <si>
    <t>131</t>
  </si>
  <si>
    <t>US-2019-164147</t>
  </si>
  <si>
    <t>DW-13585</t>
  </si>
  <si>
    <t>Dorothy Wardle</t>
  </si>
  <si>
    <t>TEC-PH-10002293</t>
  </si>
  <si>
    <t>Anker 36W 4-Port USB Wall Charger Travel Power Adapter for iPhone 5s 5c 5</t>
  </si>
  <si>
    <t>134</t>
  </si>
  <si>
    <t>CA-2018-145583</t>
  </si>
  <si>
    <t>LC-16885</t>
  </si>
  <si>
    <t>Lena Creighton</t>
  </si>
  <si>
    <t>Roseville</t>
  </si>
  <si>
    <t>95661</t>
  </si>
  <si>
    <t>OFF-PA-10001804</t>
  </si>
  <si>
    <t>Xerox 195</t>
  </si>
  <si>
    <t>141</t>
  </si>
  <si>
    <t>CA-2018-110366</t>
  </si>
  <si>
    <t>JD-15895</t>
  </si>
  <si>
    <t>Jonathan Doherty</t>
  </si>
  <si>
    <t>FUR-FU-10004848</t>
  </si>
  <si>
    <t>Howard Miller 13-3/4" Diameter Brushed Chrome Round Wall Clock</t>
  </si>
  <si>
    <t>142</t>
  </si>
  <si>
    <t>CA-2019-106180</t>
  </si>
  <si>
    <t>SH-19975</t>
  </si>
  <si>
    <t>Sally Hughsby</t>
  </si>
  <si>
    <t>OFF-AR-10000940</t>
  </si>
  <si>
    <t>Newell 343</t>
  </si>
  <si>
    <t>145</t>
  </si>
  <si>
    <t>CA-2019-155376</t>
  </si>
  <si>
    <t>SG-20080</t>
  </si>
  <si>
    <t>Sandra Glassco</t>
  </si>
  <si>
    <t>Independence</t>
  </si>
  <si>
    <t>Missouri</t>
  </si>
  <si>
    <t>64055</t>
  </si>
  <si>
    <t>OFF-AP-10001058</t>
  </si>
  <si>
    <t>Sanyo 2.5 Cubic Foot Mid-Size Office Refrigerators</t>
  </si>
  <si>
    <t>146</t>
  </si>
  <si>
    <t>CA-2017-110744</t>
  </si>
  <si>
    <t>HA-14920</t>
  </si>
  <si>
    <t>Helen Andreada</t>
  </si>
  <si>
    <t>Pasadena</t>
  </si>
  <si>
    <t>91104</t>
  </si>
  <si>
    <t>147</t>
  </si>
  <si>
    <t>CA-2016-110072</t>
  </si>
  <si>
    <t>MG-17680</t>
  </si>
  <si>
    <t>Maureen Gastineau</t>
  </si>
  <si>
    <t>Newark</t>
  </si>
  <si>
    <t>43055</t>
  </si>
  <si>
    <t>FUR-FU-10000521</t>
  </si>
  <si>
    <t>Seth Thomas 14" Putty-Colored Wall Clock</t>
  </si>
  <si>
    <t>148</t>
  </si>
  <si>
    <t>CA-2018-114489</t>
  </si>
  <si>
    <t>JE-16165</t>
  </si>
  <si>
    <t>Justin Ellison</t>
  </si>
  <si>
    <t>Franklin</t>
  </si>
  <si>
    <t>53132</t>
  </si>
  <si>
    <t>TEC-PH-10000215</t>
  </si>
  <si>
    <t>Plantronics Cordless Phone Headset with In-line Volume - M214C</t>
  </si>
  <si>
    <t>152</t>
  </si>
  <si>
    <t>CA-2018-158834</t>
  </si>
  <si>
    <t>TW-21025</t>
  </si>
  <si>
    <t>Tamara Willingham</t>
  </si>
  <si>
    <t>Scottsdale</t>
  </si>
  <si>
    <t>85254</t>
  </si>
  <si>
    <t>OFF-AP-10000326</t>
  </si>
  <si>
    <t>Belkin 7 Outlet SurgeMaster Surge Protector with Phone Protection</t>
  </si>
  <si>
    <t>154</t>
  </si>
  <si>
    <t>CA-2017-124919</t>
  </si>
  <si>
    <t>SP-20650</t>
  </si>
  <si>
    <t>Stephanie Phelps</t>
  </si>
  <si>
    <t>San Jose</t>
  </si>
  <si>
    <t>95123</t>
  </si>
  <si>
    <t>OFF-PA-10001950</t>
  </si>
  <si>
    <t>Southworth 25% Cotton Antique Laid Paper &amp; Envelopes</t>
  </si>
  <si>
    <t>157</t>
  </si>
  <si>
    <t>CA-2017-118948</t>
  </si>
  <si>
    <t>NK-18490</t>
  </si>
  <si>
    <t>Neil Knudson</t>
  </si>
  <si>
    <t>98105</t>
  </si>
  <si>
    <t>OFF-AR-10001547</t>
  </si>
  <si>
    <t>Newell 311</t>
  </si>
  <si>
    <t>158</t>
  </si>
  <si>
    <t>CA-2016-104269</t>
  </si>
  <si>
    <t>DB-13060</t>
  </si>
  <si>
    <t>Dave Brooks</t>
  </si>
  <si>
    <t>98115</t>
  </si>
  <si>
    <t>159</t>
  </si>
  <si>
    <t>CA-2018-114104</t>
  </si>
  <si>
    <t>NP-18670</t>
  </si>
  <si>
    <t>Nora Paige</t>
  </si>
  <si>
    <t>Edmond</t>
  </si>
  <si>
    <t>Oklahoma</t>
  </si>
  <si>
    <t>73034</t>
  </si>
  <si>
    <t>OFF-LA-10002475</t>
  </si>
  <si>
    <t>Avery 519</t>
  </si>
  <si>
    <t>161</t>
  </si>
  <si>
    <t>CA-2018-162733</t>
  </si>
  <si>
    <t>TT-21070</t>
  </si>
  <si>
    <t>Ted Trevino</t>
  </si>
  <si>
    <t>90045</t>
  </si>
  <si>
    <t>OFF-PA-10002751</t>
  </si>
  <si>
    <t>Xerox 1920</t>
  </si>
  <si>
    <t>162</t>
  </si>
  <si>
    <t>CA-2017-119697</t>
  </si>
  <si>
    <t>EM-13960</t>
  </si>
  <si>
    <t>Eric Murdock</t>
  </si>
  <si>
    <t>19134</t>
  </si>
  <si>
    <t>TEC-AC-10003657</t>
  </si>
  <si>
    <t>Lenovo 17-Key USB Numeric Keypad</t>
  </si>
  <si>
    <t>163</t>
  </si>
  <si>
    <t>CA-2018-154508</t>
  </si>
  <si>
    <t>RD-19900</t>
  </si>
  <si>
    <t>Ruben Dartt</t>
  </si>
  <si>
    <t>Carlsbad</t>
  </si>
  <si>
    <t>New Mexico</t>
  </si>
  <si>
    <t>88220</t>
  </si>
  <si>
    <t>OFF-EN-10001990</t>
  </si>
  <si>
    <t>Staple envelope</t>
  </si>
  <si>
    <t>164</t>
  </si>
  <si>
    <t>CA-2018-113817</t>
  </si>
  <si>
    <t>MJ-17740</t>
  </si>
  <si>
    <t>Max Jones</t>
  </si>
  <si>
    <t>OFF-BI-10004002</t>
  </si>
  <si>
    <t>Wilson Jones International Size A4 Ring Binders</t>
  </si>
  <si>
    <t>165</t>
  </si>
  <si>
    <t>CA-2016-139892</t>
  </si>
  <si>
    <t>BM-11140</t>
  </si>
  <si>
    <t>Becky Martin</t>
  </si>
  <si>
    <t>San Antonio</t>
  </si>
  <si>
    <t>78207</t>
  </si>
  <si>
    <t>OFF-AR-10004441</t>
  </si>
  <si>
    <t>BIC Brite Liner Highlighters</t>
  </si>
  <si>
    <t>172</t>
  </si>
  <si>
    <t>CA-2016-118962</t>
  </si>
  <si>
    <t>CS-12130</t>
  </si>
  <si>
    <t>Chad Sievert</t>
  </si>
  <si>
    <t>OFF-PA-10000659</t>
  </si>
  <si>
    <t>Adams Phone Message Book, Professional, 400 Message Capacity, 5 3/6” x 11”</t>
  </si>
  <si>
    <t>175</t>
  </si>
  <si>
    <t>US-2016-100853</t>
  </si>
  <si>
    <t>JB-15400</t>
  </si>
  <si>
    <t>Jennifer Braxton</t>
  </si>
  <si>
    <t>OFF-AP-10000891</t>
  </si>
  <si>
    <t>Kensington 7 Outlet MasterPiece HOMEOFFICE Power Control Center</t>
  </si>
  <si>
    <t>177</t>
  </si>
  <si>
    <t>US-2019-152366</t>
  </si>
  <si>
    <t>SJ-20500</t>
  </si>
  <si>
    <t>Shirley Jackson</t>
  </si>
  <si>
    <t>77036</t>
  </si>
  <si>
    <t>OFF-AP-10002684</t>
  </si>
  <si>
    <t>Acco 7-Outlet Masterpiece Power Center, Wihtout Fax/Phone Line Protection</t>
  </si>
  <si>
    <t>180</t>
  </si>
  <si>
    <t>CA-2017-137225</t>
  </si>
  <si>
    <t>JK-15640</t>
  </si>
  <si>
    <t>Jim Kriz</t>
  </si>
  <si>
    <t>OFF-AR-10001940</t>
  </si>
  <si>
    <t>Sanford Colorific Eraseable Coloring Pencils, 12 Count</t>
  </si>
  <si>
    <t>181</t>
  </si>
  <si>
    <t>CA-2016-166191</t>
  </si>
  <si>
    <t>DK-13150</t>
  </si>
  <si>
    <t>David Kendrick</t>
  </si>
  <si>
    <t>62521</t>
  </si>
  <si>
    <t>OFF-ST-10003455</t>
  </si>
  <si>
    <t>Tenex File Box, Personal Filing Tote with Lid, Black</t>
  </si>
  <si>
    <t>183</t>
  </si>
  <si>
    <t>CA-2016-158274</t>
  </si>
  <si>
    <t>RM-19675</t>
  </si>
  <si>
    <t>Robert Marley</t>
  </si>
  <si>
    <t>Monroe</t>
  </si>
  <si>
    <t>Louisiana</t>
  </si>
  <si>
    <t>71203</t>
  </si>
  <si>
    <t>TEC-PH-10003273</t>
  </si>
  <si>
    <t>AT&amp;T TR1909W</t>
  </si>
  <si>
    <t>186</t>
  </si>
  <si>
    <t>CA-2018-105018</t>
  </si>
  <si>
    <t>SK-19990</t>
  </si>
  <si>
    <t>Sally Knutson</t>
  </si>
  <si>
    <t>Fairfield</t>
  </si>
  <si>
    <t>Connecticut</t>
  </si>
  <si>
    <t>6824</t>
  </si>
  <si>
    <t>OFF-BI-10001890</t>
  </si>
  <si>
    <t>Avery Poly Binder Pockets</t>
  </si>
  <si>
    <t>187</t>
  </si>
  <si>
    <t>CA-2016-123260</t>
  </si>
  <si>
    <t>FM-14290</t>
  </si>
  <si>
    <t>Frank Merwin</t>
  </si>
  <si>
    <t>TEC-AC-10002323</t>
  </si>
  <si>
    <t>SanDisk Ultra 32 GB MicroSDHC Class 10 Memory Card</t>
  </si>
  <si>
    <t>188</t>
  </si>
  <si>
    <t>CA-2018-157000</t>
  </si>
  <si>
    <t>AM-10360</t>
  </si>
  <si>
    <t>Alice McCarthy</t>
  </si>
  <si>
    <t>Grand Prairie</t>
  </si>
  <si>
    <t>75051</t>
  </si>
  <si>
    <t>OFF-ST-10001328</t>
  </si>
  <si>
    <t>Personal Filing Tote with Lid, Black/Gray</t>
  </si>
  <si>
    <t>190</t>
  </si>
  <si>
    <t>CA-2017-102281</t>
  </si>
  <si>
    <t>MP-17470</t>
  </si>
  <si>
    <t>Mark Packer</t>
  </si>
  <si>
    <t>FUR-BO-10002613</t>
  </si>
  <si>
    <t>Atlantic Metals Mobile 4-Shelf Bookcases, Custom Colors</t>
  </si>
  <si>
    <t>195</t>
  </si>
  <si>
    <t>CA-2017-131457</t>
  </si>
  <si>
    <t>MZ-17515</t>
  </si>
  <si>
    <t>Mary Zewe</t>
  </si>
  <si>
    <t>Redlands</t>
  </si>
  <si>
    <t>92374</t>
  </si>
  <si>
    <t>OFF-EN-10001509</t>
  </si>
  <si>
    <t>Poly String Tie Envelopes</t>
  </si>
  <si>
    <t>196</t>
  </si>
  <si>
    <t>CA-2016-140004</t>
  </si>
  <si>
    <t>CB-12025</t>
  </si>
  <si>
    <t>Cassandra Brandow</t>
  </si>
  <si>
    <t>Hamilton</t>
  </si>
  <si>
    <t>45011</t>
  </si>
  <si>
    <t>OFF-AR-10004685</t>
  </si>
  <si>
    <t>Binney &amp; Smith Crayola Metallic Colored Pencils, 8-Color Set</t>
  </si>
  <si>
    <t>198</t>
  </si>
  <si>
    <t>CA-2019-107720</t>
  </si>
  <si>
    <t>VM-21685</t>
  </si>
  <si>
    <t>Valerie Mitchum</t>
  </si>
  <si>
    <t>Westfield</t>
  </si>
  <si>
    <t>New Jersey</t>
  </si>
  <si>
    <t>7090</t>
  </si>
  <si>
    <t>OFF-ST-10001414</t>
  </si>
  <si>
    <t>Decoflex Hanging Personal Folder File</t>
  </si>
  <si>
    <t>199</t>
  </si>
  <si>
    <t>US-2019-124303</t>
  </si>
  <si>
    <t>FH-14365</t>
  </si>
  <si>
    <t>Fred Hopkins</t>
  </si>
  <si>
    <t>19120</t>
  </si>
  <si>
    <t>OFF-BI-10000343</t>
  </si>
  <si>
    <t>Pressboard Covers with Storage Hooks, 9 1/2" x 11", Light Blue</t>
  </si>
  <si>
    <t>201</t>
  </si>
  <si>
    <t>CA-2019-105074</t>
  </si>
  <si>
    <t>MB-17305</t>
  </si>
  <si>
    <t>Maria Bertelson</t>
  </si>
  <si>
    <t>Akron</t>
  </si>
  <si>
    <t>44312</t>
  </si>
  <si>
    <t>OFF-PA-10002666</t>
  </si>
  <si>
    <t>Southworth 25% Cotton Linen-Finish Paper &amp; Envelopes</t>
  </si>
  <si>
    <t>202</t>
  </si>
  <si>
    <t>CA-2016-133690</t>
  </si>
  <si>
    <t>BS-11755</t>
  </si>
  <si>
    <t>Bruce Stewart</t>
  </si>
  <si>
    <t>Denver</t>
  </si>
  <si>
    <t>80219</t>
  </si>
  <si>
    <t>FUR-TA-10004289</t>
  </si>
  <si>
    <t>BoxOffice By Design Rectangular and Half-Moon Meeting Room Tables</t>
  </si>
  <si>
    <t>204</t>
  </si>
  <si>
    <t>US-2019-116701</t>
  </si>
  <si>
    <t>LC-17140</t>
  </si>
  <si>
    <t>Logan Currie</t>
  </si>
  <si>
    <t>Dallas</t>
  </si>
  <si>
    <t>75220</t>
  </si>
  <si>
    <t>OFF-AP-10003217</t>
  </si>
  <si>
    <t>Eureka Sanitaire  Commercial Upright</t>
  </si>
  <si>
    <t>205</t>
  </si>
  <si>
    <t>CA-2019-126382</t>
  </si>
  <si>
    <t>HK-14890</t>
  </si>
  <si>
    <t>Heather Kirkland</t>
  </si>
  <si>
    <t>37064</t>
  </si>
  <si>
    <t>FUR-FU-10002960</t>
  </si>
  <si>
    <t>Eldon 200 Class Desk Accessories, Burgundy</t>
  </si>
  <si>
    <t>206</t>
  </si>
  <si>
    <t>CA-2019-108329</t>
  </si>
  <si>
    <t>LE-16810</t>
  </si>
  <si>
    <t>Laurel Elliston</t>
  </si>
  <si>
    <t>Whittier</t>
  </si>
  <si>
    <t>90604</t>
  </si>
  <si>
    <t>TEC-PH-10001918</t>
  </si>
  <si>
    <t>Nortel Business Series Terminal T7208 Digital phone</t>
  </si>
  <si>
    <t>207</t>
  </si>
  <si>
    <t>CA-2019-135860</t>
  </si>
  <si>
    <t>JH-15985</t>
  </si>
  <si>
    <t>Joseph Holt</t>
  </si>
  <si>
    <t>Saginaw</t>
  </si>
  <si>
    <t>48601</t>
  </si>
  <si>
    <t>OFF-ST-10000642</t>
  </si>
  <si>
    <t>Tennsco Lockers, Gray</t>
  </si>
  <si>
    <t>212</t>
  </si>
  <si>
    <t>CA-2017-101007</t>
  </si>
  <si>
    <t>MS-17980</t>
  </si>
  <si>
    <t>Michael Stewart</t>
  </si>
  <si>
    <t>TEC-AC-10001266</t>
  </si>
  <si>
    <t>Memorex Micro Travel Drive 8 GB</t>
  </si>
  <si>
    <t>213</t>
  </si>
  <si>
    <t>CA-2017-146262</t>
  </si>
  <si>
    <t>VW-21775</t>
  </si>
  <si>
    <t>Victoria Wilson</t>
  </si>
  <si>
    <t>Medina</t>
  </si>
  <si>
    <t>44256</t>
  </si>
  <si>
    <t>OFF-LA-10004544</t>
  </si>
  <si>
    <t>Avery 505</t>
  </si>
  <si>
    <t>218</t>
  </si>
  <si>
    <t>CA-2018-130162</t>
  </si>
  <si>
    <t>JH-15910</t>
  </si>
  <si>
    <t>Jonathan Howell</t>
  </si>
  <si>
    <t>220</t>
  </si>
  <si>
    <t>CA-2017-169397</t>
  </si>
  <si>
    <t>JB-15925</t>
  </si>
  <si>
    <t>Joni Blumstein</t>
  </si>
  <si>
    <t>Dublin</t>
  </si>
  <si>
    <t>43017</t>
  </si>
  <si>
    <t>OFF-FA-10000585</t>
  </si>
  <si>
    <t>OIC Bulk Pack Metal Binder Clips</t>
  </si>
  <si>
    <t>226</t>
  </si>
  <si>
    <t>CA-2017-163055</t>
  </si>
  <si>
    <t>DS-13180</t>
  </si>
  <si>
    <t>David Smith</t>
  </si>
  <si>
    <t>Detroit</t>
  </si>
  <si>
    <t>48227</t>
  </si>
  <si>
    <t>OFF-AR-10001026</t>
  </si>
  <si>
    <t>Sanford Uni-Blazer View Highlighters, Chisel Tip, Yellow</t>
  </si>
  <si>
    <t>229</t>
  </si>
  <si>
    <t>US-2017-145436</t>
  </si>
  <si>
    <t>VD-21670</t>
  </si>
  <si>
    <t>Valerie Dominguez</t>
  </si>
  <si>
    <t>Columbia</t>
  </si>
  <si>
    <t>38401</t>
  </si>
  <si>
    <t>FUR-CH-10004860</t>
  </si>
  <si>
    <t>Global Low Back Tilter Chair</t>
  </si>
  <si>
    <t>231</t>
  </si>
  <si>
    <t>US-2016-156216</t>
  </si>
  <si>
    <t>EA-14035</t>
  </si>
  <si>
    <t>Erin Ashbrook</t>
  </si>
  <si>
    <t>OFF-BI-10001679</t>
  </si>
  <si>
    <t>GBC Instant Index System for Binding Systems</t>
  </si>
  <si>
    <t>237</t>
  </si>
  <si>
    <t>CA-2019-160514</t>
  </si>
  <si>
    <t>DB-13120</t>
  </si>
  <si>
    <t>David Bremer</t>
  </si>
  <si>
    <t>Santa Clara</t>
  </si>
  <si>
    <t>95051</t>
  </si>
  <si>
    <t>OFF-PA-10002479</t>
  </si>
  <si>
    <t>Xerox 4200 Series MultiUse Premium Copy Paper (20Lb. and 84 Bright)</t>
  </si>
  <si>
    <t>238</t>
  </si>
  <si>
    <t>CA-2018-157749</t>
  </si>
  <si>
    <t>KL-16645</t>
  </si>
  <si>
    <t>Ken Lonsdale</t>
  </si>
  <si>
    <t>OFF-PA-10003349</t>
  </si>
  <si>
    <t>Xerox 1957</t>
  </si>
  <si>
    <t>245</t>
  </si>
  <si>
    <t>CA-2016-131926</t>
  </si>
  <si>
    <t>DW-13480</t>
  </si>
  <si>
    <t>Dianna Wilson</t>
  </si>
  <si>
    <t>Lakeville</t>
  </si>
  <si>
    <t>55044</t>
  </si>
  <si>
    <t>250</t>
  </si>
  <si>
    <t>CA-2018-154739</t>
  </si>
  <si>
    <t>LH-17155</t>
  </si>
  <si>
    <t>Logan Haushalter</t>
  </si>
  <si>
    <t>FUR-CH-10002965</t>
  </si>
  <si>
    <t>Global Leather Highback Executive Chair with Pneumatic Height Adjustment, Black</t>
  </si>
  <si>
    <t>251</t>
  </si>
  <si>
    <t>CA-2018-145625</t>
  </si>
  <si>
    <t>KC-16540</t>
  </si>
  <si>
    <t>Kelly Collister</t>
  </si>
  <si>
    <t>San Diego</t>
  </si>
  <si>
    <t>92037</t>
  </si>
  <si>
    <t>OFF-PA-10004569</t>
  </si>
  <si>
    <t>Wirebound Message Books, Two 4 1/4" x 5" Forms per Page</t>
  </si>
  <si>
    <t>253</t>
  </si>
  <si>
    <t>CA-2018-146941</t>
  </si>
  <si>
    <t>DL-13315</t>
  </si>
  <si>
    <t>Delfina Latchford</t>
  </si>
  <si>
    <t>OFF-ST-10001228</t>
  </si>
  <si>
    <t>Fellowes Personal Hanging Folder Files, Navy</t>
  </si>
  <si>
    <t>255</t>
  </si>
  <si>
    <t>US-2017-159982</t>
  </si>
  <si>
    <t>DR-12880</t>
  </si>
  <si>
    <t>Dan Reichenbach</t>
  </si>
  <si>
    <t>FUR-FU-10002505</t>
  </si>
  <si>
    <t>Eldon 100 Class Desk Accessories</t>
  </si>
  <si>
    <t>259</t>
  </si>
  <si>
    <t>CA-2019-163139</t>
  </si>
  <si>
    <t>CC-12670</t>
  </si>
  <si>
    <t>Craig Carreira</t>
  </si>
  <si>
    <t>TEC-AC-10000290</t>
  </si>
  <si>
    <t>Sabrent 4-Port USB 2.0 Hub</t>
  </si>
  <si>
    <t>262</t>
  </si>
  <si>
    <t>US-2019-155299</t>
  </si>
  <si>
    <t>Dl-13600</t>
  </si>
  <si>
    <t>Dorris liebe</t>
  </si>
  <si>
    <t>77506</t>
  </si>
  <si>
    <t>OFF-AP-10002203</t>
  </si>
  <si>
    <t>Eureka Disposable Bags for Sanitaire Vibra Groomer I Upright Vac</t>
  </si>
  <si>
    <t>263</t>
  </si>
  <si>
    <t>US-2016-106992</t>
  </si>
  <si>
    <t>SB-20290</t>
  </si>
  <si>
    <t>Sean Braxton</t>
  </si>
  <si>
    <t>TEC-MA-10000822</t>
  </si>
  <si>
    <t>Machines</t>
  </si>
  <si>
    <t>Lexmark MX611dhe Monochrome Laser Printer</t>
  </si>
  <si>
    <t>265</t>
  </si>
  <si>
    <t>CA-2018-125318</t>
  </si>
  <si>
    <t>RC-19825</t>
  </si>
  <si>
    <t>Roy Collins</t>
  </si>
  <si>
    <t>TEC-PH-10001433</t>
  </si>
  <si>
    <t>Cisco Small Business SPA 502G VoIP phone</t>
  </si>
  <si>
    <t>266</t>
  </si>
  <si>
    <t>CA-2017-155040</t>
  </si>
  <si>
    <t>AH-10210</t>
  </si>
  <si>
    <t>Alan Hwang</t>
  </si>
  <si>
    <t>Brentwood</t>
  </si>
  <si>
    <t>94513</t>
  </si>
  <si>
    <t>TEC-AC-10004469</t>
  </si>
  <si>
    <t>Microsoft Sculpt Comfort Mouse</t>
  </si>
  <si>
    <t>267</t>
  </si>
  <si>
    <t>CA-2019-136826</t>
  </si>
  <si>
    <t>CB-12535</t>
  </si>
  <si>
    <t>Claudia Bergmann</t>
  </si>
  <si>
    <t>Chapel Hill</t>
  </si>
  <si>
    <t>27514</t>
  </si>
  <si>
    <t>OFF-AR-10003602</t>
  </si>
  <si>
    <t>Quartet Omega Colored Chalk, 12/Pack</t>
  </si>
  <si>
    <t>269</t>
  </si>
  <si>
    <t>US-2019-145366</t>
  </si>
  <si>
    <t>CA-12310</t>
  </si>
  <si>
    <t>Christine Abelman</t>
  </si>
  <si>
    <t>Cincinnati</t>
  </si>
  <si>
    <t>45231</t>
  </si>
  <si>
    <t>OFF-ST-10004180</t>
  </si>
  <si>
    <t>Safco Commercial Shelving</t>
  </si>
  <si>
    <t>271</t>
  </si>
  <si>
    <t>CA-2019-163979</t>
  </si>
  <si>
    <t>KH-16690</t>
  </si>
  <si>
    <t>Kristen Hastings</t>
  </si>
  <si>
    <t>94110</t>
  </si>
  <si>
    <t>OFF-ST-10003208</t>
  </si>
  <si>
    <t>Adjustable Depth Letter/Legal Cart</t>
  </si>
  <si>
    <t>275</t>
  </si>
  <si>
    <t>CA-2019-118136</t>
  </si>
  <si>
    <t>BB-10990</t>
  </si>
  <si>
    <t>Barry Blumstein</t>
  </si>
  <si>
    <t>Inglewood</t>
  </si>
  <si>
    <t>90301</t>
  </si>
  <si>
    <t>OFF-PA-10002615</t>
  </si>
  <si>
    <t>Ampad Gold Fibre Wirebound Steno Books, 6" x 9", Gregg Ruled</t>
  </si>
  <si>
    <t>277</t>
  </si>
  <si>
    <t>CA-2019-132976</t>
  </si>
  <si>
    <t>AG-10495</t>
  </si>
  <si>
    <t>Andrew Gjertsen</t>
  </si>
  <si>
    <t>OFF-PA-10000673</t>
  </si>
  <si>
    <t>Post-it “Important Message” Note Pad, Neon Colors, 50 Sheets/Pad</t>
  </si>
  <si>
    <t>283</t>
  </si>
  <si>
    <t>CA-2017-130890</t>
  </si>
  <si>
    <t>JO-15280</t>
  </si>
  <si>
    <t>Jas O'Carroll</t>
  </si>
  <si>
    <t>FUR-TA-10002903</t>
  </si>
  <si>
    <t>Bevis Round Bullnose 29" High Table Top</t>
  </si>
  <si>
    <t>287</t>
  </si>
  <si>
    <t>CA-2018-112697</t>
  </si>
  <si>
    <t>AH-10195</t>
  </si>
  <si>
    <t>Alan Haines</t>
  </si>
  <si>
    <t>Tamarac</t>
  </si>
  <si>
    <t>33319</t>
  </si>
  <si>
    <t>OFF-BI-10000778</t>
  </si>
  <si>
    <t>GBC VeloBinder Electric Binding Machine</t>
  </si>
  <si>
    <t>290</t>
  </si>
  <si>
    <t>CA-2018-110772</t>
  </si>
  <si>
    <t>NZ-18565</t>
  </si>
  <si>
    <t>Nick Zandusky</t>
  </si>
  <si>
    <t>OFF-FA-10002983</t>
  </si>
  <si>
    <t>Advantus SlideClip Paper Clips</t>
  </si>
  <si>
    <t>294</t>
  </si>
  <si>
    <t>CA-2016-111451</t>
  </si>
  <si>
    <t>KL-16555</t>
  </si>
  <si>
    <t>Kelly Lampkin</t>
  </si>
  <si>
    <t>Colorado Springs</t>
  </si>
  <si>
    <t>80906</t>
  </si>
  <si>
    <t>FUR-FU-10004091</t>
  </si>
  <si>
    <t>Howard Miller 13" Diameter Goldtone Round Wall Clock</t>
  </si>
  <si>
    <t>305</t>
  </si>
  <si>
    <t>CA-2017-144253</t>
  </si>
  <si>
    <t>AS-10225</t>
  </si>
  <si>
    <t>Alan Schoenberger</t>
  </si>
  <si>
    <t>FUR-FU-10002671</t>
  </si>
  <si>
    <t>Electrix 20W Halogen Replacement Bulb for Zoom-In Desk Lamp</t>
  </si>
  <si>
    <t>307</t>
  </si>
  <si>
    <t>CA-2016-111003</t>
  </si>
  <si>
    <t>CR-12625</t>
  </si>
  <si>
    <t>Corey Roper</t>
  </si>
  <si>
    <t>Lakewood</t>
  </si>
  <si>
    <t>8701</t>
  </si>
  <si>
    <t>OFF-BI-10001072</t>
  </si>
  <si>
    <t>GBC Clear Cover, 8-1/2 x 11, unpunched, 25 covers per pack</t>
  </si>
  <si>
    <t>309</t>
  </si>
  <si>
    <t>CA-2019-126774</t>
  </si>
  <si>
    <t>SH-20395</t>
  </si>
  <si>
    <t>Shahid Hopkins</t>
  </si>
  <si>
    <t>Arlington</t>
  </si>
  <si>
    <t>22204</t>
  </si>
  <si>
    <t>OFF-AR-10002804</t>
  </si>
  <si>
    <t>Faber Castell Col-Erase Pencils</t>
  </si>
  <si>
    <t>310</t>
  </si>
  <si>
    <t>CA-2018-142902</t>
  </si>
  <si>
    <t>BP-11185</t>
  </si>
  <si>
    <t>Ben Peterman</t>
  </si>
  <si>
    <t>Arvada</t>
  </si>
  <si>
    <t>80004</t>
  </si>
  <si>
    <t>FUR-FU-10001918</t>
  </si>
  <si>
    <t>C-Line Cubicle Keepers Polyproplyene Holder With Velcro Backings</t>
  </si>
  <si>
    <t>314</t>
  </si>
  <si>
    <t>CA-2016-120887</t>
  </si>
  <si>
    <t>TS-21205</t>
  </si>
  <si>
    <t>Thomas Seio</t>
  </si>
  <si>
    <t>Hackensack</t>
  </si>
  <si>
    <t>7601</t>
  </si>
  <si>
    <t>FUR-FU-10001588</t>
  </si>
  <si>
    <t>Deflect-o SuperTray Unbreakable Stackable Tray, Letter, Black</t>
  </si>
  <si>
    <t>315</t>
  </si>
  <si>
    <t>CA-2016-167850</t>
  </si>
  <si>
    <t>AG-10525</t>
  </si>
  <si>
    <t>Andy Gerbode</t>
  </si>
  <si>
    <t>Saint Petersburg</t>
  </si>
  <si>
    <t>33710</t>
  </si>
  <si>
    <t>TEC-PH-10002398</t>
  </si>
  <si>
    <t>AT&amp;T 1070 Corded Phone</t>
  </si>
  <si>
    <t>317</t>
  </si>
  <si>
    <t>CA-2016-164259</t>
  </si>
  <si>
    <t>SP-20860</t>
  </si>
  <si>
    <t>Sung Pak</t>
  </si>
  <si>
    <t>19143</t>
  </si>
  <si>
    <t>OFF-AR-10003373</t>
  </si>
  <si>
    <t>Boston School Pro Electric Pencil Sharpener, 1670</t>
  </si>
  <si>
    <t>318</t>
  </si>
  <si>
    <t>CA-2016-164973</t>
  </si>
  <si>
    <t>NM-18445</t>
  </si>
  <si>
    <t>Nathan Mautz</t>
  </si>
  <si>
    <t>FUR-CH-10002602</t>
  </si>
  <si>
    <t>DMI Arturo Collection Mission-style Design Wood Chair</t>
  </si>
  <si>
    <t>323</t>
  </si>
  <si>
    <t>CA-2016-156601</t>
  </si>
  <si>
    <t>FA-14230</t>
  </si>
  <si>
    <t>Frank Atkinson</t>
  </si>
  <si>
    <t>Long Beach</t>
  </si>
  <si>
    <t>90805</t>
  </si>
  <si>
    <t>OFF-FA-10000624</t>
  </si>
  <si>
    <t>OIC Binder Clips</t>
  </si>
  <si>
    <t>324</t>
  </si>
  <si>
    <t>CA-2018-162138</t>
  </si>
  <si>
    <t>GK-14620</t>
  </si>
  <si>
    <t>Grace Kelly</t>
  </si>
  <si>
    <t>Hesperia</t>
  </si>
  <si>
    <t>92345</t>
  </si>
  <si>
    <t>OFF-BI-10004593</t>
  </si>
  <si>
    <t>Ibico Laser Imprintable Binding System Covers</t>
  </si>
  <si>
    <t>326</t>
  </si>
  <si>
    <t>CA-2019-153339</t>
  </si>
  <si>
    <t>DJ-13510</t>
  </si>
  <si>
    <t>Don Jones</t>
  </si>
  <si>
    <t>Murfreesboro</t>
  </si>
  <si>
    <t>37130</t>
  </si>
  <si>
    <t>FUR-FU-10001967</t>
  </si>
  <si>
    <t>Telescoping Adjustable Floor Lamp</t>
  </si>
  <si>
    <t>327</t>
  </si>
  <si>
    <t>US-2018-141544</t>
  </si>
  <si>
    <t>PO-18850</t>
  </si>
  <si>
    <t>Patrick O'Brill</t>
  </si>
  <si>
    <t>TEC-PH-10003645</t>
  </si>
  <si>
    <t>Aastra 57i VoIP phone</t>
  </si>
  <si>
    <t>332</t>
  </si>
  <si>
    <t>US-2018-150147</t>
  </si>
  <si>
    <t>JL-15850</t>
  </si>
  <si>
    <t>John Lucas</t>
  </si>
  <si>
    <t>TEC-PH-10004614</t>
  </si>
  <si>
    <t>AT&amp;T 841000 Phone</t>
  </si>
  <si>
    <t>335</t>
  </si>
  <si>
    <t>CA-2017-137946</t>
  </si>
  <si>
    <t>DB-13615</t>
  </si>
  <si>
    <t>Doug Bickford</t>
  </si>
  <si>
    <t>OFF-BI-10001922</t>
  </si>
  <si>
    <t>Storex Dura Pro Binders</t>
  </si>
  <si>
    <t>338</t>
  </si>
  <si>
    <t>CA-2016-129924</t>
  </si>
  <si>
    <t>AC-10420</t>
  </si>
  <si>
    <t>Alyssa Crouse</t>
  </si>
  <si>
    <t>OFF-BI-10003314</t>
  </si>
  <si>
    <t>Tuff Stuff Recycled Round Ring Binders</t>
  </si>
  <si>
    <t>346</t>
  </si>
  <si>
    <t>CA-2019-169901</t>
  </si>
  <si>
    <t>CC-12550</t>
  </si>
  <si>
    <t>Clay Cheatham</t>
  </si>
  <si>
    <t>347</t>
  </si>
  <si>
    <t>CA-2019-134306</t>
  </si>
  <si>
    <t>TD-20995</t>
  </si>
  <si>
    <t>Tamara Dahlen</t>
  </si>
  <si>
    <t>Lowell</t>
  </si>
  <si>
    <t>Massachusetts</t>
  </si>
  <si>
    <t>1852</t>
  </si>
  <si>
    <t>OFF-AR-10004027</t>
  </si>
  <si>
    <t>Binney &amp; Smith inkTank Erasable Desk Highlighter, Chisel Tip, Yellow, 12/Box</t>
  </si>
  <si>
    <t>350</t>
  </si>
  <si>
    <t>CA-2018-129714</t>
  </si>
  <si>
    <t>AB-10060</t>
  </si>
  <si>
    <t>Adam Bellavance</t>
  </si>
  <si>
    <t>355</t>
  </si>
  <si>
    <t>CA-2018-138520</t>
  </si>
  <si>
    <t>JL-15505</t>
  </si>
  <si>
    <t>Jeremy Lonsdale</t>
  </si>
  <si>
    <t>FUR-BO-10002268</t>
  </si>
  <si>
    <t>Sauder Barrister Bookcases</t>
  </si>
  <si>
    <t>360</t>
  </si>
  <si>
    <t>CA-2019-155698</t>
  </si>
  <si>
    <t>VB-21745</t>
  </si>
  <si>
    <t>Victoria Brennan</t>
  </si>
  <si>
    <t>Georgia</t>
  </si>
  <si>
    <t>31907</t>
  </si>
  <si>
    <t>OFF-AP-10001124</t>
  </si>
  <si>
    <t>Belkin 8 Outlet SurgeMaster II Gold Surge Protector with Phone Protection</t>
  </si>
  <si>
    <t>362</t>
  </si>
  <si>
    <t>CA-2019-144904</t>
  </si>
  <si>
    <t>KW-16435</t>
  </si>
  <si>
    <t>Katrina Willman</t>
  </si>
  <si>
    <t>OFF-LA-10001158</t>
  </si>
  <si>
    <t>Avery Address/Shipping Labels for Typewriters, 4" x 2"</t>
  </si>
  <si>
    <t>366</t>
  </si>
  <si>
    <t>CA-2016-123344</t>
  </si>
  <si>
    <t>JD-16060</t>
  </si>
  <si>
    <t>Julia Dunbar</t>
  </si>
  <si>
    <t>367</t>
  </si>
  <si>
    <t>CA-2018-155516</t>
  </si>
  <si>
    <t>Same Day</t>
  </si>
  <si>
    <t>MK-17905</t>
  </si>
  <si>
    <t>Michael Kennedy</t>
  </si>
  <si>
    <t>Manchester</t>
  </si>
  <si>
    <t>6040</t>
  </si>
  <si>
    <t>OFF-BI-10002412</t>
  </si>
  <si>
    <t>Wilson Jones “Snap” Scratch Pad Binder Tool for Ring Binders</t>
  </si>
  <si>
    <t>371</t>
  </si>
  <si>
    <t>CA-2019-104745</t>
  </si>
  <si>
    <t>GT-14755</t>
  </si>
  <si>
    <t>Guy Thornton</t>
  </si>
  <si>
    <t>Harlingen</t>
  </si>
  <si>
    <t>78550</t>
  </si>
  <si>
    <t>OFF-PA-10002036</t>
  </si>
  <si>
    <t>Xerox 1930</t>
  </si>
  <si>
    <t>373</t>
  </si>
  <si>
    <t>US-2016-119137</t>
  </si>
  <si>
    <t>AG-10900</t>
  </si>
  <si>
    <t>Arthur Gainer</t>
  </si>
  <si>
    <t>Tucson</t>
  </si>
  <si>
    <t>85705</t>
  </si>
  <si>
    <t>OFF-BI-10001982</t>
  </si>
  <si>
    <t>Wilson Jones Custom Binder Spines &amp; Labels</t>
  </si>
  <si>
    <t>377</t>
  </si>
  <si>
    <t>US-2018-134656</t>
  </si>
  <si>
    <t>MM-18280</t>
  </si>
  <si>
    <t>Muhammed MacIntyre</t>
  </si>
  <si>
    <t>Quincy</t>
  </si>
  <si>
    <t>62301</t>
  </si>
  <si>
    <t>OFF-PA-10003039</t>
  </si>
  <si>
    <t>Xerox 1960</t>
  </si>
  <si>
    <t>378</t>
  </si>
  <si>
    <t>US-2019-134481</t>
  </si>
  <si>
    <t>AR-10405</t>
  </si>
  <si>
    <t>Allen Rosenblatt</t>
  </si>
  <si>
    <t>2038</t>
  </si>
  <si>
    <t>FUR-TA-10004915</t>
  </si>
  <si>
    <t>Office Impressions End Table, 20-1/2"H x 24"W x 20"D</t>
  </si>
  <si>
    <t>379</t>
  </si>
  <si>
    <t>CA-2017-130792</t>
  </si>
  <si>
    <t>RA-19915</t>
  </si>
  <si>
    <t>Russell Applegate</t>
  </si>
  <si>
    <t>OFF-AP-10000696</t>
  </si>
  <si>
    <t>Holmes Odor Grabber</t>
  </si>
  <si>
    <t>382</t>
  </si>
  <si>
    <t>CA-2018-134775</t>
  </si>
  <si>
    <t>AS-10285</t>
  </si>
  <si>
    <t>Alejandro Savely</t>
  </si>
  <si>
    <t>OFF-PA-10004734</t>
  </si>
  <si>
    <t>Southworth Structures Collection</t>
  </si>
  <si>
    <t>384</t>
  </si>
  <si>
    <t>CA-2017-125395</t>
  </si>
  <si>
    <t>LA-16780</t>
  </si>
  <si>
    <t>Laura Armstrong</t>
  </si>
  <si>
    <t>Taylor</t>
  </si>
  <si>
    <t>48180</t>
  </si>
  <si>
    <t>TEC-AC-10004708</t>
  </si>
  <si>
    <t>Sony 32GB Class 10 Micro SDHC R40 Memory Card</t>
  </si>
  <si>
    <t>385</t>
  </si>
  <si>
    <t>US-2017-168935</t>
  </si>
  <si>
    <t>DO-13435</t>
  </si>
  <si>
    <t>Denny Ordway</t>
  </si>
  <si>
    <t>Pembroke Pines</t>
  </si>
  <si>
    <t>33024</t>
  </si>
  <si>
    <t>FUR-TA-10000617</t>
  </si>
  <si>
    <t>Hon Practical Foundations 30 x 60 Training Table, Light Gray/Charcoal</t>
  </si>
  <si>
    <t>387</t>
  </si>
  <si>
    <t>CA-2017-122756</t>
  </si>
  <si>
    <t>DK-13225</t>
  </si>
  <si>
    <t>Dean Katz</t>
  </si>
  <si>
    <t>TEC-MA-10001681</t>
  </si>
  <si>
    <t>Lexmark MarkNet N8150 Wireless Print Server</t>
  </si>
  <si>
    <t>389</t>
  </si>
  <si>
    <t>CA-2016-115973</t>
  </si>
  <si>
    <t>NG-18430</t>
  </si>
  <si>
    <t>Nathan Gelder</t>
  </si>
  <si>
    <t>OFF-AR-10004757</t>
  </si>
  <si>
    <t>Crayola Colored Pencils</t>
  </si>
  <si>
    <t>390</t>
  </si>
  <si>
    <t>CA-2019-101798</t>
  </si>
  <si>
    <t>MV-18190</t>
  </si>
  <si>
    <t>Mike Vittorini</t>
  </si>
  <si>
    <t>OFF-BI-10000050</t>
  </si>
  <si>
    <t>Angle-D Binders with Locking Rings, Label Holders</t>
  </si>
  <si>
    <t>392</t>
  </si>
  <si>
    <t>US-2016-135972</t>
  </si>
  <si>
    <t>JG-15115</t>
  </si>
  <si>
    <t>Jack Garza</t>
  </si>
  <si>
    <t>Des Moines</t>
  </si>
  <si>
    <t>98198</t>
  </si>
  <si>
    <t>TEC-PH-10003012</t>
  </si>
  <si>
    <t>Nortel Meridian M3904 Professional Digital phone</t>
  </si>
  <si>
    <t>394</t>
  </si>
  <si>
    <t>US-2016-134971</t>
  </si>
  <si>
    <t>BP-11095</t>
  </si>
  <si>
    <t>Bart Pistole</t>
  </si>
  <si>
    <t>Peoria</t>
  </si>
  <si>
    <t>61604</t>
  </si>
  <si>
    <t>OFF-BI-10003982</t>
  </si>
  <si>
    <t>Wilson Jones Century Plastic Molded Ring Binders</t>
  </si>
  <si>
    <t>395</t>
  </si>
  <si>
    <t>CA-2019-102946</t>
  </si>
  <si>
    <t>VP-21730</t>
  </si>
  <si>
    <t>Victor Preis</t>
  </si>
  <si>
    <t>Las Vegas</t>
  </si>
  <si>
    <t>Nevada</t>
  </si>
  <si>
    <t>89115</t>
  </si>
  <si>
    <t>OFF-BI-10004492</t>
  </si>
  <si>
    <t>Tuf-Vin Binders</t>
  </si>
  <si>
    <t>396</t>
  </si>
  <si>
    <t>CA-2019-165603</t>
  </si>
  <si>
    <t>SS-20140</t>
  </si>
  <si>
    <t>Saphhira Shifley</t>
  </si>
  <si>
    <t>Warwick</t>
  </si>
  <si>
    <t>Rhode Island</t>
  </si>
  <si>
    <t>2886</t>
  </si>
  <si>
    <t>OFF-ST-10000798</t>
  </si>
  <si>
    <t>2300 Heavy-Duty Transfer File Systems by Perma</t>
  </si>
  <si>
    <t>399</t>
  </si>
  <si>
    <t>CA-2018-108987</t>
  </si>
  <si>
    <t>AG-10675</t>
  </si>
  <si>
    <t>Anna Gayman</t>
  </si>
  <si>
    <t>OFF-ST-10001580</t>
  </si>
  <si>
    <t>Super Decoflex Portable Personal File</t>
  </si>
  <si>
    <t>403</t>
  </si>
  <si>
    <t>CA-2016-113166</t>
  </si>
  <si>
    <t>LF-17185</t>
  </si>
  <si>
    <t>Luke Foster</t>
  </si>
  <si>
    <t>Miami</t>
  </si>
  <si>
    <t>33180</t>
  </si>
  <si>
    <t>OFF-PA-10001947</t>
  </si>
  <si>
    <t>Xerox 1974</t>
  </si>
  <si>
    <t>405</t>
  </si>
  <si>
    <t>CA-2019-117933</t>
  </si>
  <si>
    <t>RF-19840</t>
  </si>
  <si>
    <t>Roy Französisch</t>
  </si>
  <si>
    <t>OFF-AP-10004249</t>
  </si>
  <si>
    <t>Staple holder</t>
  </si>
  <si>
    <t>406</t>
  </si>
  <si>
    <t>CA-2019-117457</t>
  </si>
  <si>
    <t>KH-16510</t>
  </si>
  <si>
    <t>Keith Herrera</t>
  </si>
  <si>
    <t>TEC-AC-10000158</t>
  </si>
  <si>
    <t>Sony 64GB Class 10 Micro SDHC R40 Memory Card</t>
  </si>
  <si>
    <t>415</t>
  </si>
  <si>
    <t>CA-2019-142636</t>
  </si>
  <si>
    <t>KC-16675</t>
  </si>
  <si>
    <t>Kimberly Carter</t>
  </si>
  <si>
    <t>OFF-PA-10000157</t>
  </si>
  <si>
    <t>Xerox 191</t>
  </si>
  <si>
    <t>417</t>
  </si>
  <si>
    <t>CA-2019-122105</t>
  </si>
  <si>
    <t>CJ-12010</t>
  </si>
  <si>
    <t>Caroline Jumper</t>
  </si>
  <si>
    <t>Huntington Beach</t>
  </si>
  <si>
    <t>92646</t>
  </si>
  <si>
    <t>OFF-AR-10004344</t>
  </si>
  <si>
    <t>Bulldog Vacuum Base Pencil Sharpener</t>
  </si>
  <si>
    <t>418</t>
  </si>
  <si>
    <t>CA-2018-148796</t>
  </si>
  <si>
    <t>PB-19150</t>
  </si>
  <si>
    <t>Philip Brown</t>
  </si>
  <si>
    <t>FUR-CH-10004886</t>
  </si>
  <si>
    <t>Bevis Steel Folding Chairs</t>
  </si>
  <si>
    <t>423</t>
  </si>
  <si>
    <t>CA-2019-125388</t>
  </si>
  <si>
    <t>MP-17965</t>
  </si>
  <si>
    <t>Michael Paige</t>
  </si>
  <si>
    <t>Lawrence</t>
  </si>
  <si>
    <t>1841</t>
  </si>
  <si>
    <t>FUR-FU-10004712</t>
  </si>
  <si>
    <t>Westinghouse Mesh Shade Clip-On Gooseneck Lamp, Black</t>
  </si>
  <si>
    <t>425</t>
  </si>
  <si>
    <t>CA-2019-155705</t>
  </si>
  <si>
    <t>NF-18385</t>
  </si>
  <si>
    <t>Natalie Fritzler</t>
  </si>
  <si>
    <t>Jackson</t>
  </si>
  <si>
    <t>Mississippi</t>
  </si>
  <si>
    <t>39212</t>
  </si>
  <si>
    <t>FUR-CH-10000015</t>
  </si>
  <si>
    <t>Hon Multipurpose Stacking Arm Chairs</t>
  </si>
  <si>
    <t>428</t>
  </si>
  <si>
    <t>CA-2016-101476</t>
  </si>
  <si>
    <t>SD-20485</t>
  </si>
  <si>
    <t>Shirley Daniels</t>
  </si>
  <si>
    <t>New Rochelle</t>
  </si>
  <si>
    <t>10801</t>
  </si>
  <si>
    <t>TEC-MA-10000029</t>
  </si>
  <si>
    <t>Epson WorkForce WF-2530 All-in-One Printer, Copier Scanner</t>
  </si>
  <si>
    <t>429</t>
  </si>
  <si>
    <t>CA-2019-152275</t>
  </si>
  <si>
    <t>KH-16630</t>
  </si>
  <si>
    <t>Ken Heidel</t>
  </si>
  <si>
    <t>OFF-AR-10000369</t>
  </si>
  <si>
    <t>Design Ebony Sketching Pencil</t>
  </si>
  <si>
    <t>430</t>
  </si>
  <si>
    <t>US-2018-123750</t>
  </si>
  <si>
    <t>RB-19795</t>
  </si>
  <si>
    <t>Ross Baird</t>
  </si>
  <si>
    <t>Gastonia</t>
  </si>
  <si>
    <t>28052</t>
  </si>
  <si>
    <t>OFF-BI-10004584</t>
  </si>
  <si>
    <t>GBC ProClick 150 Presentation Binding System</t>
  </si>
  <si>
    <t>435</t>
  </si>
  <si>
    <t>US-2016-150574</t>
  </si>
  <si>
    <t>MK-18160</t>
  </si>
  <si>
    <t>Mike Kennedy</t>
  </si>
  <si>
    <t>Jacksonville</t>
  </si>
  <si>
    <t>32216</t>
  </si>
  <si>
    <t>OFF-BI-10000773</t>
  </si>
  <si>
    <t>Insertable Tab Post Binder Dividers</t>
  </si>
  <si>
    <t>437</t>
  </si>
  <si>
    <t>CA-2018-147375</t>
  </si>
  <si>
    <t>PO-19180</t>
  </si>
  <si>
    <t>Philisse Overcash</t>
  </si>
  <si>
    <t>TEC-MA-10002937</t>
  </si>
  <si>
    <t>Canon Color ImageCLASS MF8580Cdw Wireless Laser All-In-One Printer, Copier, Scanner</t>
  </si>
  <si>
    <t>439</t>
  </si>
  <si>
    <t>CA-2019-130043</t>
  </si>
  <si>
    <t>BB-11545</t>
  </si>
  <si>
    <t>Brenda Bowman</t>
  </si>
  <si>
    <t>77070</t>
  </si>
  <si>
    <t>OFF-PA-10002230</t>
  </si>
  <si>
    <t>Xerox 1897</t>
  </si>
  <si>
    <t>447</t>
  </si>
  <si>
    <t>CA-2019-154214</t>
  </si>
  <si>
    <t>TB-21595</t>
  </si>
  <si>
    <t>Troy Blackwell</t>
  </si>
  <si>
    <t>47201</t>
  </si>
  <si>
    <t>FUR-FU-10000206</t>
  </si>
  <si>
    <t>GE General Purpose, Extra Long Life, Showcase &amp; Floodlight Incandescent Bulbs</t>
  </si>
  <si>
    <t>448</t>
  </si>
  <si>
    <t>CA-2018-166674</t>
  </si>
  <si>
    <t>RB-19360</t>
  </si>
  <si>
    <t>Raymond Buch</t>
  </si>
  <si>
    <t>Auburn</t>
  </si>
  <si>
    <t>13021</t>
  </si>
  <si>
    <t>OFF-AR-10000588</t>
  </si>
  <si>
    <t>Newell 345</t>
  </si>
  <si>
    <t>454</t>
  </si>
  <si>
    <t>CA-2019-147277</t>
  </si>
  <si>
    <t>EB-13705</t>
  </si>
  <si>
    <t>Ed Braxton</t>
  </si>
  <si>
    <t>FUR-TA-10001539</t>
  </si>
  <si>
    <t>Chromcraft Rectangular Conference Tables</t>
  </si>
  <si>
    <t>457</t>
  </si>
  <si>
    <t>US-2016-110674</t>
  </si>
  <si>
    <t>SC-20095</t>
  </si>
  <si>
    <t>Sanjit Chand</t>
  </si>
  <si>
    <t>94521</t>
  </si>
  <si>
    <t>FUR-CH-10000225</t>
  </si>
  <si>
    <t>Global Geo Office Task Chair, Gray</t>
  </si>
  <si>
    <t>463</t>
  </si>
  <si>
    <t>CA-2018-109869</t>
  </si>
  <si>
    <t>TN-21040</t>
  </si>
  <si>
    <t>Tanja Norvell</t>
  </si>
  <si>
    <t>FUR-FU-10000023</t>
  </si>
  <si>
    <t>Eldon Wave Desk Accessories</t>
  </si>
  <si>
    <t>468</t>
  </si>
  <si>
    <t>US-2017-101399</t>
  </si>
  <si>
    <t>JS-15940</t>
  </si>
  <si>
    <t>Joni Sundaresam</t>
  </si>
  <si>
    <t>Park Ridge</t>
  </si>
  <si>
    <t>60068</t>
  </si>
  <si>
    <t>FUR-FU-10002918</t>
  </si>
  <si>
    <t>Eldon ClusterMat Chair Mat with Cordless Antistatic Protection</t>
  </si>
  <si>
    <t>471</t>
  </si>
  <si>
    <t>CA-2017-154144</t>
  </si>
  <si>
    <t>MH-17785</t>
  </si>
  <si>
    <t>Maya Herman</t>
  </si>
  <si>
    <t>Lindenhurst</t>
  </si>
  <si>
    <t>11757</t>
  </si>
  <si>
    <t>OFF-PA-10004071</t>
  </si>
  <si>
    <t>Eaton Premium Continuous-Feed Paper, 25% Cotton, Letter Size, White, 1000 Shts/Box</t>
  </si>
  <si>
    <t>472</t>
  </si>
  <si>
    <t>CA-2016-144666</t>
  </si>
  <si>
    <t>JP-15520</t>
  </si>
  <si>
    <t>Jeremy Pistek</t>
  </si>
  <si>
    <t>OFF-ST-10002743</t>
  </si>
  <si>
    <t>SAFCO Boltless Steel Shelving</t>
  </si>
  <si>
    <t>479</t>
  </si>
  <si>
    <t>CA-2018-152632</t>
  </si>
  <si>
    <t>JE-15475</t>
  </si>
  <si>
    <t>Jeremy Ellison</t>
  </si>
  <si>
    <t>480</t>
  </si>
  <si>
    <t>CA-2018-100790</t>
  </si>
  <si>
    <t>JG-15805</t>
  </si>
  <si>
    <t>John Grady</t>
  </si>
  <si>
    <t>OFF-AR-10003045</t>
  </si>
  <si>
    <t>Prang Colored Pencils</t>
  </si>
  <si>
    <t>482</t>
  </si>
  <si>
    <t>CA-2016-134677</t>
  </si>
  <si>
    <t>XP-21865</t>
  </si>
  <si>
    <t>Xylona Preis</t>
  </si>
  <si>
    <t>92024</t>
  </si>
  <si>
    <t>TEC-AC-10001445</t>
  </si>
  <si>
    <t>Imation USB 2.0 Swivel Flash Drive USB flash drive - 4 GB - Pink</t>
  </si>
  <si>
    <t>483</t>
  </si>
  <si>
    <t>CA-2016-127691</t>
  </si>
  <si>
    <t>EM-14065</t>
  </si>
  <si>
    <t>Erin Mull</t>
  </si>
  <si>
    <t>485</t>
  </si>
  <si>
    <t>CA-2019-140963</t>
  </si>
  <si>
    <t>MT-18070</t>
  </si>
  <si>
    <t>Michelle Tran</t>
  </si>
  <si>
    <t>OFF-LA-10003923</t>
  </si>
  <si>
    <t>Alphabetical Labels for Top Tab Filing</t>
  </si>
  <si>
    <t>488</t>
  </si>
  <si>
    <t>CA-2016-154627</t>
  </si>
  <si>
    <t>SA-20830</t>
  </si>
  <si>
    <t>Sue Ann Reed</t>
  </si>
  <si>
    <t>TEC-PH-10001363</t>
  </si>
  <si>
    <t>Apple iPhone 5S</t>
  </si>
  <si>
    <t>489</t>
  </si>
  <si>
    <t>CA-2016-133753</t>
  </si>
  <si>
    <t>CW-11905</t>
  </si>
  <si>
    <t>Carl Weiss</t>
  </si>
  <si>
    <t>Huntsville</t>
  </si>
  <si>
    <t>77340</t>
  </si>
  <si>
    <t>TEC-PH-10000376</t>
  </si>
  <si>
    <t>Square Credit Card Reader</t>
  </si>
  <si>
    <t>492</t>
  </si>
  <si>
    <t>CA-2016-113362</t>
  </si>
  <si>
    <t>AJ-10960</t>
  </si>
  <si>
    <t>Astrea Jones</t>
  </si>
  <si>
    <t>14609</t>
  </si>
  <si>
    <t>OFF-ST-10001809</t>
  </si>
  <si>
    <t>Fellowes Officeware Wire Shelving</t>
  </si>
  <si>
    <t>494</t>
  </si>
  <si>
    <t>CA-2018-169166</t>
  </si>
  <si>
    <t>SS-20590</t>
  </si>
  <si>
    <t>Sonia Sunley</t>
  </si>
  <si>
    <t>TEC-AC-10000991</t>
  </si>
  <si>
    <t>Sony Micro Vault Click 8 GB USB 2.0 Flash Drive</t>
  </si>
  <si>
    <t>495</t>
  </si>
  <si>
    <t>US-2018-120929</t>
  </si>
  <si>
    <t>RO-19780</t>
  </si>
  <si>
    <t>Rose O'Brian</t>
  </si>
  <si>
    <t>FUR-TA-10001857</t>
  </si>
  <si>
    <t>Balt Solid Wood Rectangular Table</t>
  </si>
  <si>
    <t>496</t>
  </si>
  <si>
    <t>CA-2017-134782</t>
  </si>
  <si>
    <t>MD-17350</t>
  </si>
  <si>
    <t>Maribeth Dona</t>
  </si>
  <si>
    <t>Fayetteville</t>
  </si>
  <si>
    <t>Arkansas</t>
  </si>
  <si>
    <t>72701</t>
  </si>
  <si>
    <t>OFF-EN-10001434</t>
  </si>
  <si>
    <t>Strathmore #10 Envelopes, Ultimate White</t>
  </si>
  <si>
    <t>501</t>
  </si>
  <si>
    <t>US-2018-105578</t>
  </si>
  <si>
    <t>MY-17380</t>
  </si>
  <si>
    <t>Maribeth Yedwab</t>
  </si>
  <si>
    <t>Parker</t>
  </si>
  <si>
    <t>80134</t>
  </si>
  <si>
    <t>OFF-BI-10001670</t>
  </si>
  <si>
    <t>Vinyl Sectional Post Binders</t>
  </si>
  <si>
    <t>507</t>
  </si>
  <si>
    <t>CA-2017-145352</t>
  </si>
  <si>
    <t>CM-12385</t>
  </si>
  <si>
    <t>Christopher Martinez</t>
  </si>
  <si>
    <t>Atlanta</t>
  </si>
  <si>
    <t>30318</t>
  </si>
  <si>
    <t>OFF-AR-10001662</t>
  </si>
  <si>
    <t>Rogers Handheld Barrel Pencil Sharpener</t>
  </si>
  <si>
    <t>511</t>
  </si>
  <si>
    <t>CA-2019-135307</t>
  </si>
  <si>
    <t>LS-17245</t>
  </si>
  <si>
    <t>Lynn Smith</t>
  </si>
  <si>
    <t>Gladstone</t>
  </si>
  <si>
    <t>64118</t>
  </si>
  <si>
    <t>FUR-FU-10001290</t>
  </si>
  <si>
    <t>Executive Impressions Supervisor Wall Clock</t>
  </si>
  <si>
    <t>514</t>
  </si>
  <si>
    <t>CA-2019-163405</t>
  </si>
  <si>
    <t>BN-11515</t>
  </si>
  <si>
    <t>Bradley Nguyen</t>
  </si>
  <si>
    <t>OFF-AR-10003811</t>
  </si>
  <si>
    <t>Newell 327</t>
  </si>
  <si>
    <t>520</t>
  </si>
  <si>
    <t>CA-2017-157812</t>
  </si>
  <si>
    <t>DB-13210</t>
  </si>
  <si>
    <t>Dean Braden</t>
  </si>
  <si>
    <t>523</t>
  </si>
  <si>
    <t>CA-2019-145142</t>
  </si>
  <si>
    <t>MC-17605</t>
  </si>
  <si>
    <t>Matt Connell</t>
  </si>
  <si>
    <t>48234</t>
  </si>
  <si>
    <t>526</t>
  </si>
  <si>
    <t>CA-2017-158792</t>
  </si>
  <si>
    <t>BD-11605</t>
  </si>
  <si>
    <t>Brian Dahlen</t>
  </si>
  <si>
    <t>OFF-FA-10002815</t>
  </si>
  <si>
    <t>Staples</t>
  </si>
  <si>
    <t>527</t>
  </si>
  <si>
    <t>CA-2019-113558</t>
  </si>
  <si>
    <t>PH-18790</t>
  </si>
  <si>
    <t>Patricia Hirasaki</t>
  </si>
  <si>
    <t>Lakeland</t>
  </si>
  <si>
    <t>33801</t>
  </si>
  <si>
    <t>FUR-CH-10003379</t>
  </si>
  <si>
    <t>Global Commerce Series High-Back Swivel/Tilt Chairs</t>
  </si>
  <si>
    <t>529</t>
  </si>
  <si>
    <t>US-2017-138303</t>
  </si>
  <si>
    <t>MG-18145</t>
  </si>
  <si>
    <t>Mike Gockenbach</t>
  </si>
  <si>
    <t>OFF-ST-10004963</t>
  </si>
  <si>
    <t>Eldon Gobal File Keepers</t>
  </si>
  <si>
    <t>532</t>
  </si>
  <si>
    <t>CA-2017-102848</t>
  </si>
  <si>
    <t>KB-16240</t>
  </si>
  <si>
    <t>Karen Bern</t>
  </si>
  <si>
    <t>FUR-CH-10000595</t>
  </si>
  <si>
    <t>Safco Contoured Stacking Chairs</t>
  </si>
  <si>
    <t>533</t>
  </si>
  <si>
    <t>US-2019-129441</t>
  </si>
  <si>
    <t>JC-15340</t>
  </si>
  <si>
    <t>Jasper Cacioppo</t>
  </si>
  <si>
    <t>FUR-FU-10000448</t>
  </si>
  <si>
    <t>Tenex Chairmats For Use With Carpeted Floors</t>
  </si>
  <si>
    <t>534</t>
  </si>
  <si>
    <t>CA-2018-168753</t>
  </si>
  <si>
    <t>RL-19615</t>
  </si>
  <si>
    <t>Rob Lucas</t>
  </si>
  <si>
    <t>Montgomery</t>
  </si>
  <si>
    <t>36116</t>
  </si>
  <si>
    <t>TEC-PH-10000984</t>
  </si>
  <si>
    <t>Panasonic KX-TG9471B</t>
  </si>
  <si>
    <t>536</t>
  </si>
  <si>
    <t>CA-2018-126613</t>
  </si>
  <si>
    <t>AA-10375</t>
  </si>
  <si>
    <t>Allen Armold</t>
  </si>
  <si>
    <t>Mesa</t>
  </si>
  <si>
    <t>85204</t>
  </si>
  <si>
    <t>OFF-ST-10001325</t>
  </si>
  <si>
    <t>Sterilite Officeware Hinged File Box</t>
  </si>
  <si>
    <t>537</t>
  </si>
  <si>
    <t>US-2019-122637</t>
  </si>
  <si>
    <t>EP-13915</t>
  </si>
  <si>
    <t>Emily Phan</t>
  </si>
  <si>
    <t>60653</t>
  </si>
  <si>
    <t>OFF-BI-10002429</t>
  </si>
  <si>
    <t>Premier Elliptical Ring Binder, Black</t>
  </si>
  <si>
    <t>539</t>
  </si>
  <si>
    <t>CA-2017-134894</t>
  </si>
  <si>
    <t>DK-12985</t>
  </si>
  <si>
    <t>Darren Koutras</t>
  </si>
  <si>
    <t>OFF-AP-10001271</t>
  </si>
  <si>
    <t>Eureka The Boss Cordless Rechargeable Stick Vac</t>
  </si>
  <si>
    <t>541</t>
  </si>
  <si>
    <t>CA-2016-140795</t>
  </si>
  <si>
    <t>BD-11500</t>
  </si>
  <si>
    <t>Bradley Drucker</t>
  </si>
  <si>
    <t>Green Bay</t>
  </si>
  <si>
    <t>54302</t>
  </si>
  <si>
    <t>TEC-AC-10001432</t>
  </si>
  <si>
    <t>Enermax Aurora Lite Keyboard</t>
  </si>
  <si>
    <t>543</t>
  </si>
  <si>
    <t>US-2017-120161</t>
  </si>
  <si>
    <t>LM-17065</t>
  </si>
  <si>
    <t>Liz MacKendrick</t>
  </si>
  <si>
    <t>45503</t>
  </si>
  <si>
    <t>547</t>
  </si>
  <si>
    <t>CA-2019-162929</t>
  </si>
  <si>
    <t>AS-10135</t>
  </si>
  <si>
    <t>Adrian Shami</t>
  </si>
  <si>
    <t>OFF-BI-10000404</t>
  </si>
  <si>
    <t>Avery Printable Repositionable Plastic Tabs</t>
  </si>
  <si>
    <t>552</t>
  </si>
  <si>
    <t>CA-2018-136406</t>
  </si>
  <si>
    <t>BD-11320</t>
  </si>
  <si>
    <t>Bill Donatelli</t>
  </si>
  <si>
    <t>FUR-CH-10002024</t>
  </si>
  <si>
    <t>HON 5400 Series Task Chairs for Big and Tall</t>
  </si>
  <si>
    <t>554</t>
  </si>
  <si>
    <t>CA-2019-101945</t>
  </si>
  <si>
    <t>GT-14710</t>
  </si>
  <si>
    <t>Greg Tran</t>
  </si>
  <si>
    <t>OFF-FA-10004248</t>
  </si>
  <si>
    <t>Advantus T-Pin Paper Clips</t>
  </si>
  <si>
    <t>556</t>
  </si>
  <si>
    <t>CA-2016-155852</t>
  </si>
  <si>
    <t>AJ-10945</t>
  </si>
  <si>
    <t>Ashley Jarboe</t>
  </si>
  <si>
    <t>28403</t>
  </si>
  <si>
    <t>OFF-AR-10003560</t>
  </si>
  <si>
    <t>Zebra Zazzle Fluorescent Highlighters</t>
  </si>
  <si>
    <t>557</t>
  </si>
  <si>
    <t>CA-2018-113243</t>
  </si>
  <si>
    <t>OT-18730</t>
  </si>
  <si>
    <t>Olvera Toch</t>
  </si>
  <si>
    <t>OFF-LA-10001297</t>
  </si>
  <si>
    <t>Avery 473</t>
  </si>
  <si>
    <t>560</t>
  </si>
  <si>
    <t>CA-2019-118731</t>
  </si>
  <si>
    <t>LP-17080</t>
  </si>
  <si>
    <t>Liz Pelletier</t>
  </si>
  <si>
    <t>FUR-FU-10003347</t>
  </si>
  <si>
    <t>Coloredge Poster Frame</t>
  </si>
  <si>
    <t>562</t>
  </si>
  <si>
    <t>CA-2016-145576</t>
  </si>
  <si>
    <t>CA-12775</t>
  </si>
  <si>
    <t>Cynthia Arntzen</t>
  </si>
  <si>
    <t>Tampa</t>
  </si>
  <si>
    <t>33614</t>
  </si>
  <si>
    <t>OFF-AP-10003914</t>
  </si>
  <si>
    <t>Sanitaire Vibra Groomer IR Commercial Upright Vacuum, Replacement Belts</t>
  </si>
  <si>
    <t>564</t>
  </si>
  <si>
    <t>CA-2017-130736</t>
  </si>
  <si>
    <t>JF-15490</t>
  </si>
  <si>
    <t>Jeremy Farry</t>
  </si>
  <si>
    <t>OFF-FA-10003467</t>
  </si>
  <si>
    <t>Alliance Big Bands Rubber Bands, 12/Pack</t>
  </si>
  <si>
    <t>566</t>
  </si>
  <si>
    <t>CA-2019-137099</t>
  </si>
  <si>
    <t>FP-14320</t>
  </si>
  <si>
    <t>Frank Preis</t>
  </si>
  <si>
    <t>90008</t>
  </si>
  <si>
    <t>TEC-PH-10002496</t>
  </si>
  <si>
    <t>Cisco SPA301</t>
  </si>
  <si>
    <t>567</t>
  </si>
  <si>
    <t>CA-2019-156951</t>
  </si>
  <si>
    <t>EB-13840</t>
  </si>
  <si>
    <t>Ellis Ballard</t>
  </si>
  <si>
    <t>OFF-PA-10004530</t>
  </si>
  <si>
    <t>Personal Creations Ink Jet Cards and Labels</t>
  </si>
  <si>
    <t>571</t>
  </si>
  <si>
    <t>CA-2019-164826</t>
  </si>
  <si>
    <t>JF-15415</t>
  </si>
  <si>
    <t>Jennifer Ferguson</t>
  </si>
  <si>
    <t>575</t>
  </si>
  <si>
    <t>CA-2018-127250</t>
  </si>
  <si>
    <t>SF-20200</t>
  </si>
  <si>
    <t>Sarah Foster</t>
  </si>
  <si>
    <t>Marysville</t>
  </si>
  <si>
    <t>98270</t>
  </si>
  <si>
    <t>OFF-AR-10003394</t>
  </si>
  <si>
    <t>Newell 332</t>
  </si>
  <si>
    <t>576</t>
  </si>
  <si>
    <t>CA-2017-149713</t>
  </si>
  <si>
    <t>TG-21640</t>
  </si>
  <si>
    <t>Trudy Glocke</t>
  </si>
  <si>
    <t>579</t>
  </si>
  <si>
    <t>CA-2019-118640</t>
  </si>
  <si>
    <t>CS-11950</t>
  </si>
  <si>
    <t>Carlos Soltero</t>
  </si>
  <si>
    <t>OFF-ST-10002974</t>
  </si>
  <si>
    <t>Trav-L-File Heavy-Duty Shuttle II, Black</t>
  </si>
  <si>
    <t>581</t>
  </si>
  <si>
    <t>CA-2017-132906</t>
  </si>
  <si>
    <t>CC-12145</t>
  </si>
  <si>
    <t>Charles Crestani</t>
  </si>
  <si>
    <t>OFF-SU-10004498</t>
  </si>
  <si>
    <t>Supplies</t>
  </si>
  <si>
    <t>Martin-Yale Premier Letter Opener</t>
  </si>
  <si>
    <t>582</t>
  </si>
  <si>
    <t>CA-2019-145233</t>
  </si>
  <si>
    <t>DV-13465</t>
  </si>
  <si>
    <t>Dianna Vittorini</t>
  </si>
  <si>
    <t>587</t>
  </si>
  <si>
    <t>CA-2017-128139</t>
  </si>
  <si>
    <t>BD-11725</t>
  </si>
  <si>
    <t>Bruce Degenhardt</t>
  </si>
  <si>
    <t>Richmond</t>
  </si>
  <si>
    <t>40475</t>
  </si>
  <si>
    <t>FUR-CH-10003956</t>
  </si>
  <si>
    <t>Novimex High-Tech Fabric Mesh Task Chair</t>
  </si>
  <si>
    <t>589</t>
  </si>
  <si>
    <t>US-2018-156986</t>
  </si>
  <si>
    <t>ZC-21910</t>
  </si>
  <si>
    <t>Zuschuss Carroll</t>
  </si>
  <si>
    <t>Salem</t>
  </si>
  <si>
    <t>97301</t>
  </si>
  <si>
    <t>TEC-PH-10003800</t>
  </si>
  <si>
    <t>i.Sound Portable Power - 8000 mAh</t>
  </si>
  <si>
    <t>593</t>
  </si>
  <si>
    <t>CA-2016-135405</t>
  </si>
  <si>
    <t>MS-17830</t>
  </si>
  <si>
    <t>Melanie Seite</t>
  </si>
  <si>
    <t>Laredo</t>
  </si>
  <si>
    <t>78041</t>
  </si>
  <si>
    <t>OFF-AR-10004078</t>
  </si>
  <si>
    <t>Newell 312</t>
  </si>
  <si>
    <t>595</t>
  </si>
  <si>
    <t>CA-2016-131450</t>
  </si>
  <si>
    <t>LR-16915</t>
  </si>
  <si>
    <t>Lena Radford</t>
  </si>
  <si>
    <t>OFF-AP-10004708</t>
  </si>
  <si>
    <t>Fellowes Superior 10 Outlet Split Surge Protector</t>
  </si>
  <si>
    <t>599</t>
  </si>
  <si>
    <t>CA-2018-120180</t>
  </si>
  <si>
    <t>TP-21130</t>
  </si>
  <si>
    <t>Theone Pippenger</t>
  </si>
  <si>
    <t>OFF-SU-10004115</t>
  </si>
  <si>
    <t>Acme Stainless Steel Office Snips</t>
  </si>
  <si>
    <t>600</t>
  </si>
  <si>
    <t>US-2018-100720</t>
  </si>
  <si>
    <t>CK-12205</t>
  </si>
  <si>
    <t>Chloris Kastensmidt</t>
  </si>
  <si>
    <t>TEC-PH-10001425</t>
  </si>
  <si>
    <t>Mophie Juice Pack Helium for iPhone</t>
  </si>
  <si>
    <t>603</t>
  </si>
  <si>
    <t>CA-2016-149958</t>
  </si>
  <si>
    <t>AS-10240</t>
  </si>
  <si>
    <t>Alan Shonely</t>
  </si>
  <si>
    <t>OFF-ST-10001490</t>
  </si>
  <si>
    <t>Hot File 7-Pocket, Floor Stand</t>
  </si>
  <si>
    <t>608</t>
  </si>
  <si>
    <t>US-2016-105767</t>
  </si>
  <si>
    <t>AR-10510</t>
  </si>
  <si>
    <t>Andrew Roberts</t>
  </si>
  <si>
    <t>OFF-BI-10000848</t>
  </si>
  <si>
    <t>Angle-D Ring Binders</t>
  </si>
  <si>
    <t>611</t>
  </si>
  <si>
    <t>CA-2018-161816</t>
  </si>
  <si>
    <t>NB-18655</t>
  </si>
  <si>
    <t>Nona Balk</t>
  </si>
  <si>
    <t>75217</t>
  </si>
  <si>
    <t>613</t>
  </si>
  <si>
    <t>CA-2018-121223</t>
  </si>
  <si>
    <t>GD-14590</t>
  </si>
  <si>
    <t>Giulietta Dortch</t>
  </si>
  <si>
    <t>OFF-PA-10001204</t>
  </si>
  <si>
    <t>Xerox 1972</t>
  </si>
  <si>
    <t>615</t>
  </si>
  <si>
    <t>CA-2019-138611</t>
  </si>
  <si>
    <t>CK-12595</t>
  </si>
  <si>
    <t>Clytie Kelty</t>
  </si>
  <si>
    <t>Grove City</t>
  </si>
  <si>
    <t>43123</t>
  </si>
  <si>
    <t>TEC-PH-10000011</t>
  </si>
  <si>
    <t>PureGear Roll-On Screen Protector</t>
  </si>
  <si>
    <t>617</t>
  </si>
  <si>
    <t>CA-2019-117947</t>
  </si>
  <si>
    <t>NG-18355</t>
  </si>
  <si>
    <t>Nat Gilpin</t>
  </si>
  <si>
    <t>10011</t>
  </si>
  <si>
    <t>FUR-FU-10003849</t>
  </si>
  <si>
    <t>DAX Metal Frame, Desktop, Stepped-Edge</t>
  </si>
  <si>
    <t>622</t>
  </si>
  <si>
    <t>US-2016-111171</t>
  </si>
  <si>
    <t>CA-12265</t>
  </si>
  <si>
    <t>Christina Anderson</t>
  </si>
  <si>
    <t>OFF-BI-10002103</t>
  </si>
  <si>
    <t>Cardinal Slant-D Ring Binder, Heavy Gauge Vinyl</t>
  </si>
  <si>
    <t>623</t>
  </si>
  <si>
    <t>CA-2017-138009</t>
  </si>
  <si>
    <t>SF-20965</t>
  </si>
  <si>
    <t>Sylvia Foulston</t>
  </si>
  <si>
    <t>Dearborn</t>
  </si>
  <si>
    <t>48126</t>
  </si>
  <si>
    <t>FUR-CH-10004853</t>
  </si>
  <si>
    <t>Global Manager's Adjustable Task Chair, Storm</t>
  </si>
  <si>
    <t>627</t>
  </si>
  <si>
    <t>CA-2019-163020</t>
  </si>
  <si>
    <t>MO-17800</t>
  </si>
  <si>
    <t>Meg O'Connel</t>
  </si>
  <si>
    <t>FUR-FU-10000221</t>
  </si>
  <si>
    <t>Master Caster Door Stop, Brown</t>
  </si>
  <si>
    <t>628</t>
  </si>
  <si>
    <t>CA-2019-153787</t>
  </si>
  <si>
    <t>AT-10735</t>
  </si>
  <si>
    <t>Annie Thurman</t>
  </si>
  <si>
    <t>OFF-AP-10001563</t>
  </si>
  <si>
    <t>Belkin Premiere Surge Master II 8-outlet surge protector</t>
  </si>
  <si>
    <t>631</t>
  </si>
  <si>
    <t>US-2018-135720</t>
  </si>
  <si>
    <t>FM-14380</t>
  </si>
  <si>
    <t>Fred McMath</t>
  </si>
  <si>
    <t>OFF-ST-10001963</t>
  </si>
  <si>
    <t>Tennsco Regal Shelving Units</t>
  </si>
  <si>
    <t>636</t>
  </si>
  <si>
    <t>CA-2017-168004</t>
  </si>
  <si>
    <t>DJ-13420</t>
  </si>
  <si>
    <t>Denny Joy</t>
  </si>
  <si>
    <t>Warner Robins</t>
  </si>
  <si>
    <t>31088</t>
  </si>
  <si>
    <t>FUR-CH-10001482</t>
  </si>
  <si>
    <t>Office Star - Mesh Screen back chair with Vinyl seat</t>
  </si>
  <si>
    <t>637</t>
  </si>
  <si>
    <t>US-2018-123470</t>
  </si>
  <si>
    <t>ME-17725</t>
  </si>
  <si>
    <t>Max Engle</t>
  </si>
  <si>
    <t>OFF-BI-10001989</t>
  </si>
  <si>
    <t>Premium Transparent Presentation Covers by GBC</t>
  </si>
  <si>
    <t>641</t>
  </si>
  <si>
    <t>CA-2018-147067</t>
  </si>
  <si>
    <t>JD-16150</t>
  </si>
  <si>
    <t>Justin Deggeller</t>
  </si>
  <si>
    <t>FUR-FU-10000732</t>
  </si>
  <si>
    <t>Eldon 200 Class Desk Accessories</t>
  </si>
  <si>
    <t>642</t>
  </si>
  <si>
    <t>CA-2019-167913</t>
  </si>
  <si>
    <t>JL-15835</t>
  </si>
  <si>
    <t>John Lee</t>
  </si>
  <si>
    <t>Mission Viejo</t>
  </si>
  <si>
    <t>92691</t>
  </si>
  <si>
    <t>OFF-ST-10000585</t>
  </si>
  <si>
    <t>Economy Rollaway Files</t>
  </si>
  <si>
    <t>644</t>
  </si>
  <si>
    <t>CA-2019-106103</t>
  </si>
  <si>
    <t>SC-20305</t>
  </si>
  <si>
    <t>Sean Christensen</t>
  </si>
  <si>
    <t>Rochester Hills</t>
  </si>
  <si>
    <t>48307</t>
  </si>
  <si>
    <t>TEC-AC-10003832</t>
  </si>
  <si>
    <t>Imation 16GB Mini TravelDrive USB 2.0 Flash Drive</t>
  </si>
  <si>
    <t>646</t>
  </si>
  <si>
    <t>CA-2019-126221</t>
  </si>
  <si>
    <t>CC-12430</t>
  </si>
  <si>
    <t>Chuck Clark</t>
  </si>
  <si>
    <t>OFF-AP-10002457</t>
  </si>
  <si>
    <t>Eureka The Boss Plus 12-Amp Hard Box Upright Vacuum, Red</t>
  </si>
  <si>
    <t>649</t>
  </si>
  <si>
    <t>CA-2018-160745</t>
  </si>
  <si>
    <t>AR-10825</t>
  </si>
  <si>
    <t>Anthony Rawles</t>
  </si>
  <si>
    <t>Vancouver</t>
  </si>
  <si>
    <t>98661</t>
  </si>
  <si>
    <t>FUR-FU-10001935</t>
  </si>
  <si>
    <t>3M Hangers With Command Adhesive</t>
  </si>
  <si>
    <t>652</t>
  </si>
  <si>
    <t>CA-2018-132661</t>
  </si>
  <si>
    <t>SR-20740</t>
  </si>
  <si>
    <t>Steven Roelle</t>
  </si>
  <si>
    <t>655</t>
  </si>
  <si>
    <t>CA-2018-137239</t>
  </si>
  <si>
    <t>CR-12730</t>
  </si>
  <si>
    <t>Craig Reiter</t>
  </si>
  <si>
    <t>OFF-AP-10002439</t>
  </si>
  <si>
    <t>Tripp Lite Isotel 8 Ultra 8 Outlet Metal Surge</t>
  </si>
  <si>
    <t>658</t>
  </si>
  <si>
    <t>US-2018-156097</t>
  </si>
  <si>
    <t>EH-14125</t>
  </si>
  <si>
    <t>Eugene Hildebrand</t>
  </si>
  <si>
    <t>60505</t>
  </si>
  <si>
    <t>FUR-CH-10001215</t>
  </si>
  <si>
    <t>Global Troy Executive Leather Low-Back Tilter</t>
  </si>
  <si>
    <t>664</t>
  </si>
  <si>
    <t>CA-2018-123666</t>
  </si>
  <si>
    <t>SP-20545</t>
  </si>
  <si>
    <t>Sibella Parks</t>
  </si>
  <si>
    <t>OFF-ST-10001522</t>
  </si>
  <si>
    <t>Gould Plastics 18-Pocket Panel Bin, 34w x 5-1/4d x 20-1/2h</t>
  </si>
  <si>
    <t>666</t>
  </si>
  <si>
    <t>CA-2019-132682</t>
  </si>
  <si>
    <t>TH-21235</t>
  </si>
  <si>
    <t>Tiffany House</t>
  </si>
  <si>
    <t>75081</t>
  </si>
  <si>
    <t>OFF-SU-10004231</t>
  </si>
  <si>
    <t>Acme Tagit Stainless Steel Antibacterial Scissors</t>
  </si>
  <si>
    <t>669</t>
  </si>
  <si>
    <t>CA-2016-156314</t>
  </si>
  <si>
    <t>RP-19390</t>
  </si>
  <si>
    <t>Resi Pölking</t>
  </si>
  <si>
    <t>Cleveland</t>
  </si>
  <si>
    <t>44105</t>
  </si>
  <si>
    <t>FUR-FU-10003096</t>
  </si>
  <si>
    <t>Master Giant Foot Doorstop, Safety Yellow</t>
  </si>
  <si>
    <t>674</t>
  </si>
  <si>
    <t>CA-2019-130351</t>
  </si>
  <si>
    <t>RB-19570</t>
  </si>
  <si>
    <t>Rob Beeghly</t>
  </si>
  <si>
    <t>OFF-AP-10004532</t>
  </si>
  <si>
    <t>Kensington 6 Outlet Guardian Standard Surge Protector</t>
  </si>
  <si>
    <t>677</t>
  </si>
  <si>
    <t>US-2019-119438</t>
  </si>
  <si>
    <t>CD-11980</t>
  </si>
  <si>
    <t>Carol Darley</t>
  </si>
  <si>
    <t>Tyler</t>
  </si>
  <si>
    <t>75701</t>
  </si>
  <si>
    <t>OFF-AP-10000804</t>
  </si>
  <si>
    <t>Hoover Portapower Portable Vacuum</t>
  </si>
  <si>
    <t>681</t>
  </si>
  <si>
    <t>CA-2018-164511</t>
  </si>
  <si>
    <t>DJ-13630</t>
  </si>
  <si>
    <t>Doug Jacobs</t>
  </si>
  <si>
    <t>OFF-BI-10003305</t>
  </si>
  <si>
    <t>Avery Hanging File Binders</t>
  </si>
  <si>
    <t>684</t>
  </si>
  <si>
    <t>US-2019-168116</t>
  </si>
  <si>
    <t>GT-14635</t>
  </si>
  <si>
    <t>Grant Thornton</t>
  </si>
  <si>
    <t>Burlington</t>
  </si>
  <si>
    <t>27217</t>
  </si>
  <si>
    <t>TEC-MA-10004125</t>
  </si>
  <si>
    <t>Cubify CubeX 3D Printer Triple Head Print</t>
  </si>
  <si>
    <t>686</t>
  </si>
  <si>
    <t>CA-2016-157784</t>
  </si>
  <si>
    <t>MC-17845</t>
  </si>
  <si>
    <t>Michael Chen</t>
  </si>
  <si>
    <t>TEC-AC-10003911</t>
  </si>
  <si>
    <t>NETGEAR AC1750 Dual Band Gigabit Smart WiFi Router</t>
  </si>
  <si>
    <t>689</t>
  </si>
  <si>
    <t>CA-2019-161480</t>
  </si>
  <si>
    <t>RA-19285</t>
  </si>
  <si>
    <t>Ralph Arnett</t>
  </si>
  <si>
    <t>FUR-BO-10004015</t>
  </si>
  <si>
    <t>Bush Andora Bookcase, Maple/Graphite Gray Finish</t>
  </si>
  <si>
    <t>690</t>
  </si>
  <si>
    <t>US-2016-117135</t>
  </si>
  <si>
    <t>NP-18325</t>
  </si>
  <si>
    <t>Naresj Patel</t>
  </si>
  <si>
    <t>Waynesboro</t>
  </si>
  <si>
    <t>22980</t>
  </si>
  <si>
    <t>FUR-FU-10004071</t>
  </si>
  <si>
    <t>Luxo Professional Magnifying Clamp-On Fluorescent Lamps</t>
  </si>
  <si>
    <t>693</t>
  </si>
  <si>
    <t>CA-2017-131534</t>
  </si>
  <si>
    <t>AB-10165</t>
  </si>
  <si>
    <t>Alan Barnes</t>
  </si>
  <si>
    <t>TEC-AC-10002253</t>
  </si>
  <si>
    <t>Imation Bio 8GB USB Flash Drive Imation Corp</t>
  </si>
  <si>
    <t>695</t>
  </si>
  <si>
    <t>CA-2017-119291</t>
  </si>
  <si>
    <t>JO-15550</t>
  </si>
  <si>
    <t>Jesus Ocampo</t>
  </si>
  <si>
    <t>Chester</t>
  </si>
  <si>
    <t>19013</t>
  </si>
  <si>
    <t>704</t>
  </si>
  <si>
    <t>CA-2017-142027</t>
  </si>
  <si>
    <t>JK-15370</t>
  </si>
  <si>
    <t>Jay Kimmel</t>
  </si>
  <si>
    <t>FUR-TA-10002774</t>
  </si>
  <si>
    <t>Laminate Occasional Tables</t>
  </si>
  <si>
    <t>705</t>
  </si>
  <si>
    <t>CA-2016-138527</t>
  </si>
  <si>
    <t>BN-11470</t>
  </si>
  <si>
    <t>Brad Norvell</t>
  </si>
  <si>
    <t>Cary</t>
  </si>
  <si>
    <t>27511</t>
  </si>
  <si>
    <t>OFF-PA-10001800</t>
  </si>
  <si>
    <t>Xerox 220</t>
  </si>
  <si>
    <t>708</t>
  </si>
  <si>
    <t>CA-2016-112158</t>
  </si>
  <si>
    <t>DP-13165</t>
  </si>
  <si>
    <t>David Philippe</t>
  </si>
  <si>
    <t>TEC-AC-10003628</t>
  </si>
  <si>
    <t>Logitech 910-002974 M325 Wireless Mouse for Web Scrolling</t>
  </si>
  <si>
    <t>711</t>
  </si>
  <si>
    <t>CA-2016-113887</t>
  </si>
  <si>
    <t>TH-21550</t>
  </si>
  <si>
    <t>Tracy Hopkins</t>
  </si>
  <si>
    <t>712</t>
  </si>
  <si>
    <t>CA-2019-146136</t>
  </si>
  <si>
    <t>AP-10915</t>
  </si>
  <si>
    <t>Arthur Prichep</t>
  </si>
  <si>
    <t>Palm Coast</t>
  </si>
  <si>
    <t>32137</t>
  </si>
  <si>
    <t>OFF-EN-10001219</t>
  </si>
  <si>
    <t>#10- 4 1/8" x 9 1/2" Security-Tint Envelopes</t>
  </si>
  <si>
    <t>713</t>
  </si>
  <si>
    <t>US-2019-100048</t>
  </si>
  <si>
    <t>RS-19765</t>
  </si>
  <si>
    <t>Roland Schwarz</t>
  </si>
  <si>
    <t>Mount Vernon</t>
  </si>
  <si>
    <t>10550</t>
  </si>
  <si>
    <t>OFF-AP-10001154</t>
  </si>
  <si>
    <t>Bionaire Personal Warm Mist Humidifier/Vaporizer</t>
  </si>
  <si>
    <t>717</t>
  </si>
  <si>
    <t>CA-2016-130092</t>
  </si>
  <si>
    <t>SV-20365</t>
  </si>
  <si>
    <t>Seth Vernon</t>
  </si>
  <si>
    <t>FUR-FU-10000010</t>
  </si>
  <si>
    <t>DAX Value U-Channel Document Frames, Easel Back</t>
  </si>
  <si>
    <t>719</t>
  </si>
  <si>
    <t>CA-2016-104472</t>
  </si>
  <si>
    <t>CK-12325</t>
  </si>
  <si>
    <t>Christine Kargatis</t>
  </si>
  <si>
    <t>OFF-BI-10001658</t>
  </si>
  <si>
    <t>GBC Standard Therm-A-Bind Covers</t>
  </si>
  <si>
    <t>721</t>
  </si>
  <si>
    <t>CA-2018-112942</t>
  </si>
  <si>
    <t>RD-19810</t>
  </si>
  <si>
    <t>Ross DeVincentis</t>
  </si>
  <si>
    <t>OFF-PA-10004092</t>
  </si>
  <si>
    <t>Tops Green Bar Computer Printout Paper</t>
  </si>
  <si>
    <t>724</t>
  </si>
  <si>
    <t>CA-2016-117429</t>
  </si>
  <si>
    <t>MR-17545</t>
  </si>
  <si>
    <t>Mathew Reese</t>
  </si>
  <si>
    <t>FUR-FU-10000222</t>
  </si>
  <si>
    <t>Seth Thomas 16" Steel Case Clock</t>
  </si>
  <si>
    <t>725</t>
  </si>
  <si>
    <t>CA-2018-114713</t>
  </si>
  <si>
    <t>SC-20695</t>
  </si>
  <si>
    <t>Steve Chapman</t>
  </si>
  <si>
    <t>Hialeah</t>
  </si>
  <si>
    <t>33012</t>
  </si>
  <si>
    <t>OFF-SU-10004664</t>
  </si>
  <si>
    <t>Acme Softgrip Scissors</t>
  </si>
  <si>
    <t>726</t>
  </si>
  <si>
    <t>CA-2019-144113</t>
  </si>
  <si>
    <t>JF-15355</t>
  </si>
  <si>
    <t>Jay Fein</t>
  </si>
  <si>
    <t>Austin</t>
  </si>
  <si>
    <t>78745</t>
  </si>
  <si>
    <t>OFF-EN-10001141</t>
  </si>
  <si>
    <t>Manila Recycled Extra-Heavyweight Clasp Envelopes, 6" x 9"</t>
  </si>
  <si>
    <t>728</t>
  </si>
  <si>
    <t>US-2018-150861</t>
  </si>
  <si>
    <t>EG-13900</t>
  </si>
  <si>
    <t>Emily Grady</t>
  </si>
  <si>
    <t>Oceanside</t>
  </si>
  <si>
    <t>11572</t>
  </si>
  <si>
    <t>OFF-PA-10001954</t>
  </si>
  <si>
    <t>Xerox 1964</t>
  </si>
  <si>
    <t>733</t>
  </si>
  <si>
    <t>CA-2019-131954</t>
  </si>
  <si>
    <t>DS-13030</t>
  </si>
  <si>
    <t>Darrin Sayre</t>
  </si>
  <si>
    <t>OFF-ST-10000736</t>
  </si>
  <si>
    <t>Carina Double Wide Media Storage Towers in Natural &amp; Black</t>
  </si>
  <si>
    <t>740</t>
  </si>
  <si>
    <t>CA-2016-112326</t>
  </si>
  <si>
    <t>PO-19195</t>
  </si>
  <si>
    <t>Phillina Ober</t>
  </si>
  <si>
    <t>OFF-LA-10003223</t>
  </si>
  <si>
    <t>Avery 508</t>
  </si>
  <si>
    <t>743</t>
  </si>
  <si>
    <t>US-2018-146710</t>
  </si>
  <si>
    <t>SS-20875</t>
  </si>
  <si>
    <t>Sung Shariari</t>
  </si>
  <si>
    <t>749</t>
  </si>
  <si>
    <t>CA-2018-150889</t>
  </si>
  <si>
    <t>PB-19105</t>
  </si>
  <si>
    <t>Peter Bühler</t>
  </si>
  <si>
    <t>Evanston</t>
  </si>
  <si>
    <t>60201</t>
  </si>
  <si>
    <t>TEC-PH-10000004</t>
  </si>
  <si>
    <t>Belkin iPhone and iPad Lightning Cable</t>
  </si>
  <si>
    <t>750</t>
  </si>
  <si>
    <t>CA-2019-126074</t>
  </si>
  <si>
    <t>RF-19735</t>
  </si>
  <si>
    <t>Roland Fjeld</t>
  </si>
  <si>
    <t>Trenton</t>
  </si>
  <si>
    <t>48183</t>
  </si>
  <si>
    <t>OFF-BI-10003638</t>
  </si>
  <si>
    <t>GBC Durable Plastic Covers</t>
  </si>
  <si>
    <t>754</t>
  </si>
  <si>
    <t>CA-2018-110499</t>
  </si>
  <si>
    <t>YC-21895</t>
  </si>
  <si>
    <t>Yoseph Carroll</t>
  </si>
  <si>
    <t>TEC-CO-10002095</t>
  </si>
  <si>
    <t>Copiers</t>
  </si>
  <si>
    <t>Hewlett Packard 610 Color Digital Copier / Printer</t>
  </si>
  <si>
    <t>757</t>
  </si>
  <si>
    <t>CA-2016-106803</t>
  </si>
  <si>
    <t>DC-13285</t>
  </si>
  <si>
    <t>Debra Catini</t>
  </si>
  <si>
    <t>Cottage Grove</t>
  </si>
  <si>
    <t>55016</t>
  </si>
  <si>
    <t>OFF-ST-10002444</t>
  </si>
  <si>
    <t>Recycled Eldon Regeneration Jumbo File</t>
  </si>
  <si>
    <t>759</t>
  </si>
  <si>
    <t>CA-2019-117240</t>
  </si>
  <si>
    <t>CP-12340</t>
  </si>
  <si>
    <t>Christine Phan</t>
  </si>
  <si>
    <t>760</t>
  </si>
  <si>
    <t>CA-2019-133333</t>
  </si>
  <si>
    <t>BF-11020</t>
  </si>
  <si>
    <t>Barry Französisch</t>
  </si>
  <si>
    <t>OFF-PA-10002377</t>
  </si>
  <si>
    <t>Adams Telephone Message Book W/Dividers/Space For Phone Numbers, 5 1/4"X8 1/2", 200/Messages</t>
  </si>
  <si>
    <t>763</t>
  </si>
  <si>
    <t>CA-2017-114923</t>
  </si>
  <si>
    <t>LH-17020</t>
  </si>
  <si>
    <t>Lisa Hazard</t>
  </si>
  <si>
    <t>TEC-PH-10003931</t>
  </si>
  <si>
    <t>JBL Micro Wireless Portable Bluetooth Speaker</t>
  </si>
  <si>
    <t>764</t>
  </si>
  <si>
    <t>CA-2016-162775</t>
  </si>
  <si>
    <t>CS-12250</t>
  </si>
  <si>
    <t>Chris Selesnick</t>
  </si>
  <si>
    <t>Bossier City</t>
  </si>
  <si>
    <t>71111</t>
  </si>
  <si>
    <t>769</t>
  </si>
  <si>
    <t>CA-2016-106810</t>
  </si>
  <si>
    <t>AJ-10795</t>
  </si>
  <si>
    <t>Anthony Johnson</t>
  </si>
  <si>
    <t>FUR-FU-10004306</t>
  </si>
  <si>
    <t>Electrix Halogen Magnifier Lamp</t>
  </si>
  <si>
    <t>771</t>
  </si>
  <si>
    <t>CA-2019-104220</t>
  </si>
  <si>
    <t>BV-11245</t>
  </si>
  <si>
    <t>Benjamin Venier</t>
  </si>
  <si>
    <t>50315</t>
  </si>
  <si>
    <t>OFF-BI-10001036</t>
  </si>
  <si>
    <t>Cardinal EasyOpen D-Ring Binders</t>
  </si>
  <si>
    <t>777</t>
  </si>
  <si>
    <t>CA-2016-165974</t>
  </si>
  <si>
    <t>DL-12865</t>
  </si>
  <si>
    <t>Dan Lawera</t>
  </si>
  <si>
    <t>OFF-AR-10003405</t>
  </si>
  <si>
    <t>Dixon My First Ticonderoga Pencil, #2</t>
  </si>
  <si>
    <t>782</t>
  </si>
  <si>
    <t>US-2017-157014</t>
  </si>
  <si>
    <t>BM-11785</t>
  </si>
  <si>
    <t>Bryan Mills</t>
  </si>
  <si>
    <t>OFF-BI-10001098</t>
  </si>
  <si>
    <t>Acco D-Ring Binder w/DublLock</t>
  </si>
  <si>
    <t>788</t>
  </si>
  <si>
    <t>CA-2017-154620</t>
  </si>
  <si>
    <t>LT-17110</t>
  </si>
  <si>
    <t>Liz Thompson</t>
  </si>
  <si>
    <t>Lancaster</t>
  </si>
  <si>
    <t>93534</t>
  </si>
  <si>
    <t>FUR-CH-10004675</t>
  </si>
  <si>
    <t>Lifetime Advantage Folding Chairs, 4/Carton</t>
  </si>
  <si>
    <t>793</t>
  </si>
  <si>
    <t>CA-2018-105256</t>
  </si>
  <si>
    <t>JK-15730</t>
  </si>
  <si>
    <t>Joe Kamberova</t>
  </si>
  <si>
    <t>Asheville</t>
  </si>
  <si>
    <t>28806</t>
  </si>
  <si>
    <t>TEC-PH-10001530</t>
  </si>
  <si>
    <t>Cisco Unified IP Phone 7945G VoIP phone</t>
  </si>
  <si>
    <t>794</t>
  </si>
  <si>
    <t>CA-2016-156433</t>
  </si>
  <si>
    <t>ES-14020</t>
  </si>
  <si>
    <t>Erica Smith</t>
  </si>
  <si>
    <t>OFF-LA-10001569</t>
  </si>
  <si>
    <t>Avery 499</t>
  </si>
  <si>
    <t>796</t>
  </si>
  <si>
    <t>CA-2019-151428</t>
  </si>
  <si>
    <t>RH-19495</t>
  </si>
  <si>
    <t>Rick Hansen</t>
  </si>
  <si>
    <t>OFF-BI-10000546</t>
  </si>
  <si>
    <t>Avery Durable Binders</t>
  </si>
  <si>
    <t>800</t>
  </si>
  <si>
    <t>CA-2017-101910</t>
  </si>
  <si>
    <t>CD-11920</t>
  </si>
  <si>
    <t>Carlos Daly</t>
  </si>
  <si>
    <t>Lake Elsinore</t>
  </si>
  <si>
    <t>92530</t>
  </si>
  <si>
    <t>FUR-CH-10002647</t>
  </si>
  <si>
    <t>Situations Contoured Folding Chairs, 4/Set</t>
  </si>
  <si>
    <t>801</t>
  </si>
  <si>
    <t>CA-2019-105809</t>
  </si>
  <si>
    <t>HW-14935</t>
  </si>
  <si>
    <t>Helen Wasserman</t>
  </si>
  <si>
    <t>92105</t>
  </si>
  <si>
    <t>FUR-FU-10004090</t>
  </si>
  <si>
    <t>Executive Impressions 14" Contract Wall Clock</t>
  </si>
  <si>
    <t>804</t>
  </si>
  <si>
    <t>CA-2018-115504</t>
  </si>
  <si>
    <t>MC-18130</t>
  </si>
  <si>
    <t>Mike Caudle</t>
  </si>
  <si>
    <t>OFF-PA-10003953</t>
  </si>
  <si>
    <t>Xerox 218</t>
  </si>
  <si>
    <t>805</t>
  </si>
  <si>
    <t>CA-2019-135783</t>
  </si>
  <si>
    <t>GM-14440</t>
  </si>
  <si>
    <t>Gary McGarr</t>
  </si>
  <si>
    <t>FUR-FU-10000794</t>
  </si>
  <si>
    <t>Eldon Stackable Tray, Side-Load, Legal, Smoke</t>
  </si>
  <si>
    <t>814</t>
  </si>
  <si>
    <t>CA-2019-143686</t>
  </si>
  <si>
    <t>PJ-19015</t>
  </si>
  <si>
    <t>Pauline Johnson</t>
  </si>
  <si>
    <t>Santa Ana</t>
  </si>
  <si>
    <t>92704</t>
  </si>
  <si>
    <t>816</t>
  </si>
  <si>
    <t>CA-2017-106565</t>
  </si>
  <si>
    <t>BW-11110</t>
  </si>
  <si>
    <t>Bart Watters</t>
  </si>
  <si>
    <t>Milwaukee</t>
  </si>
  <si>
    <t>53209</t>
  </si>
  <si>
    <t>OFF-PA-10000061</t>
  </si>
  <si>
    <t>Xerox 205</t>
  </si>
  <si>
    <t>823</t>
  </si>
  <si>
    <t>CA-2019-101434</t>
  </si>
  <si>
    <t>TR-21325</t>
  </si>
  <si>
    <t>Toby Ritter</t>
  </si>
  <si>
    <t>Belleville</t>
  </si>
  <si>
    <t>7109</t>
  </si>
  <si>
    <t>TEC-AC-10002402</t>
  </si>
  <si>
    <t>Razer Kraken PRO Over Ear PC and Music Headset</t>
  </si>
  <si>
    <t>825</t>
  </si>
  <si>
    <t>US-2016-102071</t>
  </si>
  <si>
    <t>PG-18820</t>
  </si>
  <si>
    <t>Patrick Gardner</t>
  </si>
  <si>
    <t>TEC-AC-10003441</t>
  </si>
  <si>
    <t>Kingston Digital DataTraveler 32GB USB 2.0</t>
  </si>
  <si>
    <t>838</t>
  </si>
  <si>
    <t>US-2019-156083</t>
  </si>
  <si>
    <t>JL-15175</t>
  </si>
  <si>
    <t>James Lanier</t>
  </si>
  <si>
    <t>OFF-PA-10001560</t>
  </si>
  <si>
    <t>Adams Telephone Message Books, 5 1/4” x 11”</t>
  </si>
  <si>
    <t>840</t>
  </si>
  <si>
    <t>CA-2017-100454</t>
  </si>
  <si>
    <t>BM-11650</t>
  </si>
  <si>
    <t>Brian Moss</t>
  </si>
  <si>
    <t>OFF-AR-10004648</t>
  </si>
  <si>
    <t>Boston 19500 Mighty Mite Electric Pencil Sharpener</t>
  </si>
  <si>
    <t>843</t>
  </si>
  <si>
    <t>CA-2018-161669</t>
  </si>
  <si>
    <t>EM-14095</t>
  </si>
  <si>
    <t>Eudokia Martin</t>
  </si>
  <si>
    <t>OFF-BI-10001294</t>
  </si>
  <si>
    <t>Fellowes Binding Cases</t>
  </si>
  <si>
    <t>847</t>
  </si>
  <si>
    <t>CA-2017-114300</t>
  </si>
  <si>
    <t>AF-10885</t>
  </si>
  <si>
    <t>Art Foster</t>
  </si>
  <si>
    <t>Louisville</t>
  </si>
  <si>
    <t>40214</t>
  </si>
  <si>
    <t>TEC-PH-10001552</t>
  </si>
  <si>
    <t>I Need's 3d Hello Kitty Hybrid Silicone Case Cover for HTC One X 4g with 3d Hello Kitty Stylus Pen Green/pink</t>
  </si>
  <si>
    <t>849</t>
  </si>
  <si>
    <t>CA-2019-107503</t>
  </si>
  <si>
    <t>GA-14725</t>
  </si>
  <si>
    <t>Guy Armstrong</t>
  </si>
  <si>
    <t>Lorain</t>
  </si>
  <si>
    <t>44052</t>
  </si>
  <si>
    <t>FUR-FU-10003878</t>
  </si>
  <si>
    <t>Linden 10" Round Wall Clock, Black</t>
  </si>
  <si>
    <t>850</t>
  </si>
  <si>
    <t>CA-2016-107755</t>
  </si>
  <si>
    <t>CK-12760</t>
  </si>
  <si>
    <t>Cyma Kinney</t>
  </si>
  <si>
    <t>Linden</t>
  </si>
  <si>
    <t>7036</t>
  </si>
  <si>
    <t>TEC-AC-10000710</t>
  </si>
  <si>
    <t>Maxell DVD-RAM Discs</t>
  </si>
  <si>
    <t>851</t>
  </si>
  <si>
    <t>CA-2018-152534</t>
  </si>
  <si>
    <t>DP-13105</t>
  </si>
  <si>
    <t>Dave Poirier</t>
  </si>
  <si>
    <t>Salinas</t>
  </si>
  <si>
    <t>93905</t>
  </si>
  <si>
    <t>OFF-AR-10002335</t>
  </si>
  <si>
    <t>DIXON Oriole Pencils</t>
  </si>
  <si>
    <t>856</t>
  </si>
  <si>
    <t>CA-2016-125612</t>
  </si>
  <si>
    <t>BK-11260</t>
  </si>
  <si>
    <t>Berenike Kampe</t>
  </si>
  <si>
    <t>OFF-PA-10001019</t>
  </si>
  <si>
    <t>Xerox 1884</t>
  </si>
  <si>
    <t>859</t>
  </si>
  <si>
    <t>CA-2019-161984</t>
  </si>
  <si>
    <t>SJ-20125</t>
  </si>
  <si>
    <t>Sanjit Jacobs</t>
  </si>
  <si>
    <t>New Brunswick</t>
  </si>
  <si>
    <t>8901</t>
  </si>
  <si>
    <t>861</t>
  </si>
  <si>
    <t>CA-2016-133851</t>
  </si>
  <si>
    <t>CM-12445</t>
  </si>
  <si>
    <t>Chuck Magee</t>
  </si>
  <si>
    <t>OFF-SU-10001225</t>
  </si>
  <si>
    <t>Staple remover</t>
  </si>
  <si>
    <t>866</t>
  </si>
  <si>
    <t>CA-2016-149020</t>
  </si>
  <si>
    <t>AJ-10780</t>
  </si>
  <si>
    <t>Anthony Jacobs</t>
  </si>
  <si>
    <t>OFF-LA-10004272</t>
  </si>
  <si>
    <t>Avery 482</t>
  </si>
  <si>
    <t>868</t>
  </si>
  <si>
    <t>CA-2018-134362</t>
  </si>
  <si>
    <t>LS-16945</t>
  </si>
  <si>
    <t>Linda Southworth</t>
  </si>
  <si>
    <t>OFF-LA-10004853</t>
  </si>
  <si>
    <t>Avery 483</t>
  </si>
  <si>
    <t>869</t>
  </si>
  <si>
    <t>CA-2016-136742</t>
  </si>
  <si>
    <t>GP-14740</t>
  </si>
  <si>
    <t>Guy Phonely</t>
  </si>
  <si>
    <t>17602</t>
  </si>
  <si>
    <t>OFF-BI-10003719</t>
  </si>
  <si>
    <t>Large Capacity Hanging Post Binders</t>
  </si>
  <si>
    <t>870</t>
  </si>
  <si>
    <t>CA-2018-158099</t>
  </si>
  <si>
    <t>PK-18910</t>
  </si>
  <si>
    <t>Paul Knutson</t>
  </si>
  <si>
    <t>OFF-BI-10000545</t>
  </si>
  <si>
    <t>GBC Ibimaster 500 Manual ProClick Binding System</t>
  </si>
  <si>
    <t>873</t>
  </si>
  <si>
    <t>CA-2016-148488</t>
  </si>
  <si>
    <t>SM-20005</t>
  </si>
  <si>
    <t>Sally Matthias</t>
  </si>
  <si>
    <t>OFF-PA-10004470</t>
  </si>
  <si>
    <t>Adams Write n' Stick Phone Message Book, 11" X 5 1/4", 200 Messages</t>
  </si>
  <si>
    <t>879</t>
  </si>
  <si>
    <t>US-2016-158638</t>
  </si>
  <si>
    <t>AG-10765</t>
  </si>
  <si>
    <t>Anthony Garverick</t>
  </si>
  <si>
    <t>OFF-BI-10003712</t>
  </si>
  <si>
    <t>Acco Pressboard Covers with Storage Hooks, 14 7/8" x 11", Light Blue</t>
  </si>
  <si>
    <t>884</t>
  </si>
  <si>
    <t>CA-2018-165148</t>
  </si>
  <si>
    <t>PM-19135</t>
  </si>
  <si>
    <t>Peter McVee</t>
  </si>
  <si>
    <t>885</t>
  </si>
  <si>
    <t>CA-2016-134061</t>
  </si>
  <si>
    <t>LL-16840</t>
  </si>
  <si>
    <t>Lauren Leatherbury</t>
  </si>
  <si>
    <t>FUR-FU-10001424</t>
  </si>
  <si>
    <t>Dax Clear Box Frame</t>
  </si>
  <si>
    <t>886</t>
  </si>
  <si>
    <t>CA-2017-143602</t>
  </si>
  <si>
    <t>JS-15595</t>
  </si>
  <si>
    <t>Jill Stevenson</t>
  </si>
  <si>
    <t>OFF-BI-10002071</t>
  </si>
  <si>
    <t>Fellowes Black Plastic Comb Bindings</t>
  </si>
  <si>
    <t>888</t>
  </si>
  <si>
    <t>CA-2019-150707</t>
  </si>
  <si>
    <t>EL-13735</t>
  </si>
  <si>
    <t>Ed Ludwig</t>
  </si>
  <si>
    <t>Maryland</t>
  </si>
  <si>
    <t>21044</t>
  </si>
  <si>
    <t>OFF-BI-10001078</t>
  </si>
  <si>
    <t>Acco PRESSTEX Data Binder with Storage Hooks, Dark Blue, 14 7/8" X 11"</t>
  </si>
  <si>
    <t>895</t>
  </si>
  <si>
    <t>CA-2018-105494</t>
  </si>
  <si>
    <t>PC-18745</t>
  </si>
  <si>
    <t>Pamela Coakley</t>
  </si>
  <si>
    <t>OFF-ST-10002205</t>
  </si>
  <si>
    <t>File Shuttle I and Handi-File</t>
  </si>
  <si>
    <t>897</t>
  </si>
  <si>
    <t>CA-2018-140634</t>
  </si>
  <si>
    <t>HL-15040</t>
  </si>
  <si>
    <t>Hunter Lopez</t>
  </si>
  <si>
    <t>OFF-EN-10001099</t>
  </si>
  <si>
    <t>898</t>
  </si>
  <si>
    <t>CA-2016-144407</t>
  </si>
  <si>
    <t>MS-17365</t>
  </si>
  <si>
    <t>Maribeth Schnelling</t>
  </si>
  <si>
    <t>899</t>
  </si>
  <si>
    <t>CA-2019-160983</t>
  </si>
  <si>
    <t>GB-14530</t>
  </si>
  <si>
    <t>George Bell</t>
  </si>
  <si>
    <t>OFF-PA-10002250</t>
  </si>
  <si>
    <t>Things To Do Today Pad</t>
  </si>
  <si>
    <t>900</t>
  </si>
  <si>
    <t>US-2018-114622</t>
  </si>
  <si>
    <t>JR-16210</t>
  </si>
  <si>
    <t>Justin Ritter</t>
  </si>
  <si>
    <t>OFF-BI-10004716</t>
  </si>
  <si>
    <t>Wilson Jones Hanging Recycled Pressboard Data Binders</t>
  </si>
  <si>
    <t>910</t>
  </si>
  <si>
    <t>CA-2019-137596</t>
  </si>
  <si>
    <t>BE-11335</t>
  </si>
  <si>
    <t>Bill Eplett</t>
  </si>
  <si>
    <t>49201</t>
  </si>
  <si>
    <t>TEC-PH-10001494</t>
  </si>
  <si>
    <t>Polycom CX600 IP Phone VoIP phone</t>
  </si>
  <si>
    <t>913</t>
  </si>
  <si>
    <t>CA-2017-133627</t>
  </si>
  <si>
    <t>SC-20050</t>
  </si>
  <si>
    <t>Sample Company A</t>
  </si>
  <si>
    <t>Norwich</t>
  </si>
  <si>
    <t>6360</t>
  </si>
  <si>
    <t>919</t>
  </si>
  <si>
    <t>CA-2018-165218</t>
  </si>
  <si>
    <t>RW-19630</t>
  </si>
  <si>
    <t>Rob Williams</t>
  </si>
  <si>
    <t>OFF-EN-10000056</t>
  </si>
  <si>
    <t>Cameo Buff Policy Envelopes</t>
  </si>
  <si>
    <t>922</t>
  </si>
  <si>
    <t>CA-2017-111164</t>
  </si>
  <si>
    <t>SE-20110</t>
  </si>
  <si>
    <t>Sanjit Engle</t>
  </si>
  <si>
    <t>TEC-AC-10002473</t>
  </si>
  <si>
    <t>Maxell 4.7GB DVD-R</t>
  </si>
  <si>
    <t>925</t>
  </si>
  <si>
    <t>CA-2018-149797</t>
  </si>
  <si>
    <t>AH-10075</t>
  </si>
  <si>
    <t>Adam Hart</t>
  </si>
  <si>
    <t>926</t>
  </si>
  <si>
    <t>CA-2016-132962</t>
  </si>
  <si>
    <t>JM-15535</t>
  </si>
  <si>
    <t>Jessica Myrick</t>
  </si>
  <si>
    <t>OFF-PA-10003543</t>
  </si>
  <si>
    <t>Xerox 1985</t>
  </si>
  <si>
    <t>928</t>
  </si>
  <si>
    <t>CA-2017-115091</t>
  </si>
  <si>
    <t>JJ-15760</t>
  </si>
  <si>
    <t>Joel Jenkins</t>
  </si>
  <si>
    <t>OFF-AR-10000658</t>
  </si>
  <si>
    <t>Newell 324</t>
  </si>
  <si>
    <t>933</t>
  </si>
  <si>
    <t>CA-2019-114216</t>
  </si>
  <si>
    <t>RK-19300</t>
  </si>
  <si>
    <t>Ralph Kennedy</t>
  </si>
  <si>
    <t>OFF-PA-10002195</t>
  </si>
  <si>
    <t>RSVP Cards &amp; Envelopes, Blank White, 8-1/2" X 11", 24 Cards/25 Envelopes/Set</t>
  </si>
  <si>
    <t>934</t>
  </si>
  <si>
    <t>CA-2018-140081</t>
  </si>
  <si>
    <t>CG-12040</t>
  </si>
  <si>
    <t>Catherine Glotzbach</t>
  </si>
  <si>
    <t>OFF-PA-10001745</t>
  </si>
  <si>
    <t>Wirebound Message Books, 2 7/8" x 5", 3 Forms per Page</t>
  </si>
  <si>
    <t>939</t>
  </si>
  <si>
    <t>CA-2017-148250</t>
  </si>
  <si>
    <t>RP-19270</t>
  </si>
  <si>
    <t>Rachel Payne</t>
  </si>
  <si>
    <t>Riverside</t>
  </si>
  <si>
    <t>92503</t>
  </si>
  <si>
    <t>OFF-PA-10000289</t>
  </si>
  <si>
    <t>Xerox 213</t>
  </si>
  <si>
    <t>941</t>
  </si>
  <si>
    <t>CA-2018-105760</t>
  </si>
  <si>
    <t>KC-16255</t>
  </si>
  <si>
    <t>Karen Carlisle</t>
  </si>
  <si>
    <t>OFF-PA-10000350</t>
  </si>
  <si>
    <t>Message Book, Standard Line "While You Were Out", 5 1/2" X 4", 200 Sets/Book</t>
  </si>
  <si>
    <t>953</t>
  </si>
  <si>
    <t>CA-2019-131156</t>
  </si>
  <si>
    <t>KH-16360</t>
  </si>
  <si>
    <t>Katherine Hughes</t>
  </si>
  <si>
    <t>FUR-FU-10001940</t>
  </si>
  <si>
    <t>Staple-based wall hangings</t>
  </si>
  <si>
    <t>954</t>
  </si>
  <si>
    <t>CA-2019-136539</t>
  </si>
  <si>
    <t>GH-14665</t>
  </si>
  <si>
    <t>Greg Hansen</t>
  </si>
  <si>
    <t>Round Rock</t>
  </si>
  <si>
    <t>78664</t>
  </si>
  <si>
    <t>OFF-AR-10001958</t>
  </si>
  <si>
    <t>Stanley Bostitch Contemporary Electric Pencil Sharpeners</t>
  </si>
  <si>
    <t>956</t>
  </si>
  <si>
    <t>CA-2019-119305</t>
  </si>
  <si>
    <t>SW-20275</t>
  </si>
  <si>
    <t>Scott Williamson</t>
  </si>
  <si>
    <t>957</t>
  </si>
  <si>
    <t>CA-2019-102414</t>
  </si>
  <si>
    <t>JA-15970</t>
  </si>
  <si>
    <t>Joseph Airdo</t>
  </si>
  <si>
    <t>TEC-PH-10002923</t>
  </si>
  <si>
    <t>Logitech B530 USB Headset - headset - Full size, Binaural</t>
  </si>
  <si>
    <t>960</t>
  </si>
  <si>
    <t>CA-2017-112571</t>
  </si>
  <si>
    <t>DL-12925</t>
  </si>
  <si>
    <t>Daniel Lacy</t>
  </si>
  <si>
    <t>92054</t>
  </si>
  <si>
    <t>FUR-FU-10004188</t>
  </si>
  <si>
    <t>Luxo Professional Combination Clamp-On Lamps</t>
  </si>
  <si>
    <t>961</t>
  </si>
  <si>
    <t>CA-2019-152142</t>
  </si>
  <si>
    <t>LW-16990</t>
  </si>
  <si>
    <t>Lindsay Williams</t>
  </si>
  <si>
    <t>962</t>
  </si>
  <si>
    <t>CA-2017-160059</t>
  </si>
  <si>
    <t>TB-21190</t>
  </si>
  <si>
    <t>Thomas Brumley</t>
  </si>
  <si>
    <t>OFF-BI-10000145</t>
  </si>
  <si>
    <t>Zipper Ring Binder Pockets</t>
  </si>
  <si>
    <t>965</t>
  </si>
  <si>
    <t>CA-2019-135279</t>
  </si>
  <si>
    <t>BS-11800</t>
  </si>
  <si>
    <t>Bryan Spruell</t>
  </si>
  <si>
    <t>OFF-LA-10004055</t>
  </si>
  <si>
    <t>Color-Coded Legal Exhibit Labels</t>
  </si>
  <si>
    <t>979</t>
  </si>
  <si>
    <t>CA-2018-145499</t>
  </si>
  <si>
    <t>RW-19690</t>
  </si>
  <si>
    <t>Robert Waldorf</t>
  </si>
  <si>
    <t>982</t>
  </si>
  <si>
    <t>CA-2016-163419</t>
  </si>
  <si>
    <t>TZ-21580</t>
  </si>
  <si>
    <t>Tracy Zic</t>
  </si>
  <si>
    <t>80027</t>
  </si>
  <si>
    <t>OFF-AR-10000034</t>
  </si>
  <si>
    <t>BIC Brite Liner Grip Highlighters, Assorted, 5/Pack</t>
  </si>
  <si>
    <t>985</t>
  </si>
  <si>
    <t>CA-2019-100314</t>
  </si>
  <si>
    <t>AS-10630</t>
  </si>
  <si>
    <t>Ann Steele</t>
  </si>
  <si>
    <t>988</t>
  </si>
  <si>
    <t>CA-2017-146829</t>
  </si>
  <si>
    <t>TS-21340</t>
  </si>
  <si>
    <t>Toby Swindell</t>
  </si>
  <si>
    <t>OFF-BI-10004022</t>
  </si>
  <si>
    <t>Acco Suede Grain Vinyl Round Ring Binder</t>
  </si>
  <si>
    <t>991</t>
  </si>
  <si>
    <t>CA-2017-153549</t>
  </si>
  <si>
    <t>SL-20155</t>
  </si>
  <si>
    <t>Sara Luxemburg</t>
  </si>
  <si>
    <t>FUR-CH-10004086</t>
  </si>
  <si>
    <t>Hon 4070 Series Pagoda Armless Upholstered Stacking Chairs</t>
  </si>
  <si>
    <t>995</t>
  </si>
  <si>
    <t>CA-2016-117639</t>
  </si>
  <si>
    <t>MW-18235</t>
  </si>
  <si>
    <t>Mitch Willingham</t>
  </si>
  <si>
    <t>Virginia Beach</t>
  </si>
  <si>
    <t>23464</t>
  </si>
  <si>
    <t>OFF-BI-10003925</t>
  </si>
  <si>
    <t>Fellowes PB300 Plastic Comb Binding Machine</t>
  </si>
  <si>
    <t>997</t>
  </si>
  <si>
    <t>CA-2017-162537</t>
  </si>
  <si>
    <t>RD-19585</t>
  </si>
  <si>
    <t>Rob Dowd</t>
  </si>
  <si>
    <t>OFF-EN-10003862</t>
  </si>
  <si>
    <t>Laser &amp; Ink Jet Business Envelopes</t>
  </si>
  <si>
    <t>1005</t>
  </si>
  <si>
    <t>CA-2017-126445</t>
  </si>
  <si>
    <t>RA-19945</t>
  </si>
  <si>
    <t>Ryan Akin</t>
  </si>
  <si>
    <t>Murrieta</t>
  </si>
  <si>
    <t>92563</t>
  </si>
  <si>
    <t>OFF-ST-10000046</t>
  </si>
  <si>
    <t>Fellowes Super Stor/Drawer Files</t>
  </si>
  <si>
    <t>1007</t>
  </si>
  <si>
    <t>CA-2017-105312</t>
  </si>
  <si>
    <t>MT-17815</t>
  </si>
  <si>
    <t>Meg Tillman</t>
  </si>
  <si>
    <t>OFF-EN-10002600</t>
  </si>
  <si>
    <t>Redi-Strip #10 Envelopes, 4 1/8 x 9 1/2</t>
  </si>
  <si>
    <t>1011</t>
  </si>
  <si>
    <t>CA-2016-158540</t>
  </si>
  <si>
    <t>VG-21790</t>
  </si>
  <si>
    <t>Vivek Gonzalez</t>
  </si>
  <si>
    <t>FUR-FU-10001602</t>
  </si>
  <si>
    <t>Eldon Delta Triangular Chair Mat, 52" x 58", Clear</t>
  </si>
  <si>
    <t>1014</t>
  </si>
  <si>
    <t>US-2017-126214</t>
  </si>
  <si>
    <t>JS-15880</t>
  </si>
  <si>
    <t>John Stevenson</t>
  </si>
  <si>
    <t>FUR-TA-10003748</t>
  </si>
  <si>
    <t>Bevis 36 x 72 Conference Tables</t>
  </si>
  <si>
    <t>1017</t>
  </si>
  <si>
    <t>CA-2017-108665</t>
  </si>
  <si>
    <t>KM-16225</t>
  </si>
  <si>
    <t>Kalyca Meade</t>
  </si>
  <si>
    <t>FUR-FU-10002191</t>
  </si>
  <si>
    <t>G.E. Halogen Desk Lamp Bulbs</t>
  </si>
  <si>
    <t>1025</t>
  </si>
  <si>
    <t>CA-2019-106964</t>
  </si>
  <si>
    <t>HR-14770</t>
  </si>
  <si>
    <t>Hallie Redmond</t>
  </si>
  <si>
    <t>OFF-BI-10000320</t>
  </si>
  <si>
    <t>GBC Plastic Binding Combs</t>
  </si>
  <si>
    <t>1026</t>
  </si>
  <si>
    <t>CA-2018-126529</t>
  </si>
  <si>
    <t>DE-13255</t>
  </si>
  <si>
    <t>Deanra Eno</t>
  </si>
  <si>
    <t>OFF-PA-10001166</t>
  </si>
  <si>
    <t>Xerox 2</t>
  </si>
  <si>
    <t>1034</t>
  </si>
  <si>
    <t>CA-2018-109820</t>
  </si>
  <si>
    <t>AG-10390</t>
  </si>
  <si>
    <t>Allen Goldenen</t>
  </si>
  <si>
    <t>OFF-PA-10000955</t>
  </si>
  <si>
    <t>Southworth 25% Cotton Granite Paper &amp; Envelopes</t>
  </si>
  <si>
    <t>1038</t>
  </si>
  <si>
    <t>CA-2017-127418</t>
  </si>
  <si>
    <t>JJ-15445</t>
  </si>
  <si>
    <t>Jennifer Jackson</t>
  </si>
  <si>
    <t>OFF-BI-10003707</t>
  </si>
  <si>
    <t>Aluminum Screw Posts</t>
  </si>
  <si>
    <t>1039</t>
  </si>
  <si>
    <t>CA-2019-121818</t>
  </si>
  <si>
    <t>JH-15430</t>
  </si>
  <si>
    <t>Jennifer Halladay</t>
  </si>
  <si>
    <t>OFF-AR-10000203</t>
  </si>
  <si>
    <t>Newell 336</t>
  </si>
  <si>
    <t>1041</t>
  </si>
  <si>
    <t>CA-2018-127670</t>
  </si>
  <si>
    <t>RD-19660</t>
  </si>
  <si>
    <t>Robert Dilbeck</t>
  </si>
  <si>
    <t>Saint Peters</t>
  </si>
  <si>
    <t>63376</t>
  </si>
  <si>
    <t>FUR-TA-10001095</t>
  </si>
  <si>
    <t>Chromcraft Round Conference Tables</t>
  </si>
  <si>
    <t>1042</t>
  </si>
  <si>
    <t>CA-2018-102981</t>
  </si>
  <si>
    <t>MO-17500</t>
  </si>
  <si>
    <t>Mary O'Rourke</t>
  </si>
  <si>
    <t>TEC-AC-10004761</t>
  </si>
  <si>
    <t>Maxell 4.7GB DVD+RW 3/Pack</t>
  </si>
  <si>
    <t>1044</t>
  </si>
  <si>
    <t>CA-2019-115651</t>
  </si>
  <si>
    <t>NS-18640</t>
  </si>
  <si>
    <t>Noel Staavos</t>
  </si>
  <si>
    <t>OFF-AR-10001130</t>
  </si>
  <si>
    <t>Quartet Alpha White Chalk, 12/Pack</t>
  </si>
  <si>
    <t>1051</t>
  </si>
  <si>
    <t>US-2017-153500</t>
  </si>
  <si>
    <t>DG-13300</t>
  </si>
  <si>
    <t>Deirdre Greer</t>
  </si>
  <si>
    <t>FUR-FU-10000293</t>
  </si>
  <si>
    <t>Eldon Antistatic Chair Mats for Low to Medium Pile Carpets</t>
  </si>
  <si>
    <t>1054</t>
  </si>
  <si>
    <t>CA-2017-110667</t>
  </si>
  <si>
    <t>NF-18595</t>
  </si>
  <si>
    <t>Nicole Fjeld</t>
  </si>
  <si>
    <t>OFF-AR-10000716</t>
  </si>
  <si>
    <t>DIXON Ticonderoga Erasable Checking Pencils</t>
  </si>
  <si>
    <t>1060</t>
  </si>
  <si>
    <t>CA-2018-105284</t>
  </si>
  <si>
    <t>MG-17650</t>
  </si>
  <si>
    <t>Matthew Grinstein</t>
  </si>
  <si>
    <t>OFF-FA-10001754</t>
  </si>
  <si>
    <t>Stockwell Gold Paper Clips</t>
  </si>
  <si>
    <t>1062</t>
  </si>
  <si>
    <t>CA-2017-161263</t>
  </si>
  <si>
    <t>TS-21160</t>
  </si>
  <si>
    <t>Theresa Swint</t>
  </si>
  <si>
    <t>Toledo</t>
  </si>
  <si>
    <t>43615</t>
  </si>
  <si>
    <t>OFF-AP-10002350</t>
  </si>
  <si>
    <t>Belkin F9H710-06 7 Outlet SurgeMaster Surge Protector</t>
  </si>
  <si>
    <t>1068</t>
  </si>
  <si>
    <t>CA-2018-157686</t>
  </si>
  <si>
    <t>BD-11620</t>
  </si>
  <si>
    <t>Brian DeCherney</t>
  </si>
  <si>
    <t>1069</t>
  </si>
  <si>
    <t>US-2019-139955</t>
  </si>
  <si>
    <t>CM-12160</t>
  </si>
  <si>
    <t>Charles McCrossin</t>
  </si>
  <si>
    <t>Brownsville</t>
  </si>
  <si>
    <t>78521</t>
  </si>
  <si>
    <t>OFF-SU-10001935</t>
  </si>
  <si>
    <t>1071</t>
  </si>
  <si>
    <t>CA-2017-144652</t>
  </si>
  <si>
    <t>SN-20560</t>
  </si>
  <si>
    <t>Skye Norling</t>
  </si>
  <si>
    <t>OFF-AR-10003732</t>
  </si>
  <si>
    <t>Newell 333</t>
  </si>
  <si>
    <t>1072</t>
  </si>
  <si>
    <t>CA-2018-152814</t>
  </si>
  <si>
    <t>EH-14005</t>
  </si>
  <si>
    <t>Erica Hernandez</t>
  </si>
  <si>
    <t>OFF-PA-10001970</t>
  </si>
  <si>
    <t>Xerox 1881</t>
  </si>
  <si>
    <t>1073</t>
  </si>
  <si>
    <t>CA-2019-106943</t>
  </si>
  <si>
    <t>FO-14305</t>
  </si>
  <si>
    <t>Frank Olsen</t>
  </si>
  <si>
    <t>OFF-BI-10003669</t>
  </si>
  <si>
    <t>3M Organizer Strips</t>
  </si>
  <si>
    <t>1074</t>
  </si>
  <si>
    <t>CA-2018-134348</t>
  </si>
  <si>
    <t>MS-17710</t>
  </si>
  <si>
    <t>Maurice Satty</t>
  </si>
  <si>
    <t>OFF-BI-10003727</t>
  </si>
  <si>
    <t>Avery Durable Slant Ring Binders With Label Holder</t>
  </si>
  <si>
    <t>1077</t>
  </si>
  <si>
    <t>CA-2018-161781</t>
  </si>
  <si>
    <t>CC-12100</t>
  </si>
  <si>
    <t>Chad Cunningham</t>
  </si>
  <si>
    <t>OFF-AR-10000255</t>
  </si>
  <si>
    <t>Newell 328</t>
  </si>
  <si>
    <t>1078</t>
  </si>
  <si>
    <t>CA-2019-132521</t>
  </si>
  <si>
    <t>DW-13540</t>
  </si>
  <si>
    <t>Don Weiss</t>
  </si>
  <si>
    <t>OFF-AP-10002191</t>
  </si>
  <si>
    <t>Belkin 8 Outlet SurgeMaster II Gold Surge Protector</t>
  </si>
  <si>
    <t>1081</t>
  </si>
  <si>
    <t>CA-2017-110016</t>
  </si>
  <si>
    <t>BT-11395</t>
  </si>
  <si>
    <t>Bill Tyler</t>
  </si>
  <si>
    <t>OFF-PA-10000349</t>
  </si>
  <si>
    <t>1088</t>
  </si>
  <si>
    <t>CA-2018-166163</t>
  </si>
  <si>
    <t>CY-12745</t>
  </si>
  <si>
    <t>Craig Yedwab</t>
  </si>
  <si>
    <t>Oakland</t>
  </si>
  <si>
    <t>94601</t>
  </si>
  <si>
    <t>TEC-PH-10004896</t>
  </si>
  <si>
    <t>Nokia Lumia 521 (T-Mobile)</t>
  </si>
  <si>
    <t>1094</t>
  </si>
  <si>
    <t>CA-2017-165085</t>
  </si>
  <si>
    <t>BT-11485</t>
  </si>
  <si>
    <t>Brad Thomas</t>
  </si>
  <si>
    <t>Clinton</t>
  </si>
  <si>
    <t>20735</t>
  </si>
  <si>
    <t>OFF-PA-10000605</t>
  </si>
  <si>
    <t>Xerox 1950</t>
  </si>
  <si>
    <t>1096</t>
  </si>
  <si>
    <t>CA-2019-160423</t>
  </si>
  <si>
    <t>PS-19045</t>
  </si>
  <si>
    <t>Penelope Sewall</t>
  </si>
  <si>
    <t>OFF-ST-10004340</t>
  </si>
  <si>
    <t>Fellowes Mobile File Cart, Black</t>
  </si>
  <si>
    <t>1099</t>
  </si>
  <si>
    <t>CA-2018-107216</t>
  </si>
  <si>
    <t>PV-18985</t>
  </si>
  <si>
    <t>Paul Van Hugh</t>
  </si>
  <si>
    <t>OFF-AR-10001545</t>
  </si>
  <si>
    <t>Newell 326</t>
  </si>
  <si>
    <t>1105</t>
  </si>
  <si>
    <t>CA-2018-112340</t>
  </si>
  <si>
    <t>NM-18520</t>
  </si>
  <si>
    <t>Neoma Murray</t>
  </si>
  <si>
    <t>OFF-PA-10001892</t>
  </si>
  <si>
    <t>Rediform Wirebound "Phone Memo" Message Book, 11 x 5-3/4</t>
  </si>
  <si>
    <t>1117</t>
  </si>
  <si>
    <t>CA-2018-144855</t>
  </si>
  <si>
    <t>DL-13495</t>
  </si>
  <si>
    <t>Dionis Lloyd</t>
  </si>
  <si>
    <t>OFF-LA-10003766</t>
  </si>
  <si>
    <t>Self-Adhesive Removable Labels</t>
  </si>
  <si>
    <t>1118</t>
  </si>
  <si>
    <t>CA-2017-142755</t>
  </si>
  <si>
    <t>CS-12355</t>
  </si>
  <si>
    <t>Christine Sundaresam</t>
  </si>
  <si>
    <t>Roswell</t>
  </si>
  <si>
    <t>30076</t>
  </si>
  <si>
    <t>Xerox 1908</t>
  </si>
  <si>
    <t>1137</t>
  </si>
  <si>
    <t>CA-2018-152170</t>
  </si>
  <si>
    <t>FH-14275</t>
  </si>
  <si>
    <t>Frank Hawley</t>
  </si>
  <si>
    <t>La Porte</t>
  </si>
  <si>
    <t>46350</t>
  </si>
  <si>
    <t>OFF-EN-10002831</t>
  </si>
  <si>
    <t>Tyvek  Top-Opening Peel &amp; Seel  Envelopes, Gray</t>
  </si>
  <si>
    <t>1147</t>
  </si>
  <si>
    <t>CA-2017-112452</t>
  </si>
  <si>
    <t>NC-18340</t>
  </si>
  <si>
    <t>Nat Carroll</t>
  </si>
  <si>
    <t>Lansing</t>
  </si>
  <si>
    <t>48911</t>
  </si>
  <si>
    <t>OFF-AP-10003849</t>
  </si>
  <si>
    <t>Hoover Shoulder Vac Commercial Portable Vacuum</t>
  </si>
  <si>
    <t>1160</t>
  </si>
  <si>
    <t>CA-2019-147039</t>
  </si>
  <si>
    <t>AA-10315</t>
  </si>
  <si>
    <t>Alex Avila</t>
  </si>
  <si>
    <t>OFF-AP-10000576</t>
  </si>
  <si>
    <t>Belkin 325VA UPS Surge Protector, 6'</t>
  </si>
  <si>
    <t>1162</t>
  </si>
  <si>
    <t>CA-2016-126522</t>
  </si>
  <si>
    <t>LT-16765</t>
  </si>
  <si>
    <t>Larry Tron</t>
  </si>
  <si>
    <t>Escondido</t>
  </si>
  <si>
    <t>92025</t>
  </si>
  <si>
    <t>OFF-AR-10004042</t>
  </si>
  <si>
    <t>BOSTON Model 1800 Electric Pencil Sharpeners, Putty/Woodgrain</t>
  </si>
  <si>
    <t>1163</t>
  </si>
  <si>
    <t>CA-2016-127964</t>
  </si>
  <si>
    <t>AP-10720</t>
  </si>
  <si>
    <t>Anne Pryor</t>
  </si>
  <si>
    <t>TEC-PH-10004700</t>
  </si>
  <si>
    <t>PowerGen Dual USB Car Charger</t>
  </si>
  <si>
    <t>1166</t>
  </si>
  <si>
    <t>CA-2016-117709</t>
  </si>
  <si>
    <t>PM-18940</t>
  </si>
  <si>
    <t>Paul MacIntyre</t>
  </si>
  <si>
    <t>1177</t>
  </si>
  <si>
    <t>CA-2016-120243</t>
  </si>
  <si>
    <t>AT-10435</t>
  </si>
  <si>
    <t>Alyssa Tate</t>
  </si>
  <si>
    <t>OFF-LA-10004425</t>
  </si>
  <si>
    <t>Staple-on labels</t>
  </si>
  <si>
    <t>1180</t>
  </si>
  <si>
    <t>CA-2018-168081</t>
  </si>
  <si>
    <t>CA-12055</t>
  </si>
  <si>
    <t>Cathy Armstrong</t>
  </si>
  <si>
    <t>TEC-AC-10003174</t>
  </si>
  <si>
    <t>Plantronics S12 Corded Telephone Headset System</t>
  </si>
  <si>
    <t>1185</t>
  </si>
  <si>
    <t>CA-2016-127131</t>
  </si>
  <si>
    <t>HR-14830</t>
  </si>
  <si>
    <t>Harold Ryan</t>
  </si>
  <si>
    <t>OFF-BI-10004656</t>
  </si>
  <si>
    <t>Peel &amp; Stick Add-On Corner Pockets</t>
  </si>
  <si>
    <t>1189</t>
  </si>
  <si>
    <t>CA-2019-117212</t>
  </si>
  <si>
    <t>BT-11530</t>
  </si>
  <si>
    <t>Bradley Talbott</t>
  </si>
  <si>
    <t>1206</t>
  </si>
  <si>
    <t>CA-2019-133235</t>
  </si>
  <si>
    <t>LH-16750</t>
  </si>
  <si>
    <t>Larry Hughes</t>
  </si>
  <si>
    <t>TEC-PH-10002660</t>
  </si>
  <si>
    <t>Nortel Networks T7316 E Nt8 B27</t>
  </si>
  <si>
    <t>1207</t>
  </si>
  <si>
    <t>CA-2018-137050</t>
  </si>
  <si>
    <t>SW-20755</t>
  </si>
  <si>
    <t>Steven Ward</t>
  </si>
  <si>
    <t>OFF-ST-10004634</t>
  </si>
  <si>
    <t>Personal Folder Holder, Ebony</t>
  </si>
  <si>
    <t>1213</t>
  </si>
  <si>
    <t>US-2019-118087</t>
  </si>
  <si>
    <t>SP-20620</t>
  </si>
  <si>
    <t>Stefania Perrino</t>
  </si>
  <si>
    <t>1221</t>
  </si>
  <si>
    <t>CA-2016-110184</t>
  </si>
  <si>
    <t>BF-11170</t>
  </si>
  <si>
    <t>Ben Ferrer</t>
  </si>
  <si>
    <t>1232</t>
  </si>
  <si>
    <t>CA-2017-132570</t>
  </si>
  <si>
    <t>KT-16480</t>
  </si>
  <si>
    <t>Kean Thornton</t>
  </si>
  <si>
    <t>Buffalo</t>
  </si>
  <si>
    <t>14215</t>
  </si>
  <si>
    <t>1234</t>
  </si>
  <si>
    <t>CA-2018-153682</t>
  </si>
  <si>
    <t>BG-11695</t>
  </si>
  <si>
    <t>Brooke Gillingham</t>
  </si>
  <si>
    <t>TEC-CO-10001046</t>
  </si>
  <si>
    <t>Canon Imageclass D680 Copier / Fax</t>
  </si>
  <si>
    <t>1239</t>
  </si>
  <si>
    <t>CA-2016-127012</t>
  </si>
  <si>
    <t>GM-14680</t>
  </si>
  <si>
    <t>Greg Matthias</t>
  </si>
  <si>
    <t>FUR-FU-10003691</t>
  </si>
  <si>
    <t>Eldon Image Series Desk Accessories, Ebony</t>
  </si>
  <si>
    <t>1245</t>
  </si>
  <si>
    <t>CA-2019-133641</t>
  </si>
  <si>
    <t>EJ-14155</t>
  </si>
  <si>
    <t>Eva Jacobs</t>
  </si>
  <si>
    <t>Gulfport</t>
  </si>
  <si>
    <t>39503</t>
  </si>
  <si>
    <t>OFF-EN-10004955</t>
  </si>
  <si>
    <t>Fashion Color Clasp Envelopes</t>
  </si>
  <si>
    <t>1246</t>
  </si>
  <si>
    <t>CA-2016-168494</t>
  </si>
  <si>
    <t>NP-18700</t>
  </si>
  <si>
    <t>Nora Preis</t>
  </si>
  <si>
    <t>Fresno</t>
  </si>
  <si>
    <t>93727</t>
  </si>
  <si>
    <t>FUR-TA-10004619</t>
  </si>
  <si>
    <t>Hon Non-Folding Utility Tables</t>
  </si>
  <si>
    <t>1254</t>
  </si>
  <si>
    <t>CA-2019-144638</t>
  </si>
  <si>
    <t>MH-18115</t>
  </si>
  <si>
    <t>Mick Hernandez</t>
  </si>
  <si>
    <t>OFF-AR-10003958</t>
  </si>
  <si>
    <t>Newell 337</t>
  </si>
  <si>
    <t>1261</t>
  </si>
  <si>
    <t>CA-2019-117079</t>
  </si>
  <si>
    <t>JR-15700</t>
  </si>
  <si>
    <t>Jocasta Rupert</t>
  </si>
  <si>
    <t>TEC-PH-10004586</t>
  </si>
  <si>
    <t>Wilson SignalBoost 841262 DB PRO Amplifier Kit</t>
  </si>
  <si>
    <t>1262</t>
  </si>
  <si>
    <t>US-2018-144393</t>
  </si>
  <si>
    <t>SM-20950</t>
  </si>
  <si>
    <t>Suzanne McNair</t>
  </si>
  <si>
    <t>Greenville</t>
  </si>
  <si>
    <t>27834</t>
  </si>
  <si>
    <t>OFF-BI-10004236</t>
  </si>
  <si>
    <t>XtraLife ClearVue Slant-D Ring Binder, White, 3"</t>
  </si>
  <si>
    <t>1264</t>
  </si>
  <si>
    <t>CA-2018-155992</t>
  </si>
  <si>
    <t>CC-12220</t>
  </si>
  <si>
    <t>Chris Cortes</t>
  </si>
  <si>
    <t>1266</t>
  </si>
  <si>
    <t>CA-2019-110380</t>
  </si>
  <si>
    <t>PF-19225</t>
  </si>
  <si>
    <t>Phillip Flathmann</t>
  </si>
  <si>
    <t>OFF-AR-10000422</t>
  </si>
  <si>
    <t>Pencil and Crayon Sharpener</t>
  </si>
  <si>
    <t>1270</t>
  </si>
  <si>
    <t>CA-2019-100426</t>
  </si>
  <si>
    <t>DC-12850</t>
  </si>
  <si>
    <t>Dan Campbell</t>
  </si>
  <si>
    <t>Florence</t>
  </si>
  <si>
    <t>35630</t>
  </si>
  <si>
    <t>OFF-PA-10002870</t>
  </si>
  <si>
    <t>Ampad Phone Message Book, Recycled, 400 Message Capacity, 5 ¾” x 11”</t>
  </si>
  <si>
    <t>1278</t>
  </si>
  <si>
    <t>CA-2018-148698</t>
  </si>
  <si>
    <t>BD-11770</t>
  </si>
  <si>
    <t>Bryan Davis</t>
  </si>
  <si>
    <t>OFF-AR-10004022</t>
  </si>
  <si>
    <t>Panasonic KP-380BK Classic Electric Pencil Sharpener</t>
  </si>
  <si>
    <t>1286</t>
  </si>
  <si>
    <t>CA-2018-119445</t>
  </si>
  <si>
    <t>GM-14500</t>
  </si>
  <si>
    <t>Gene McClure</t>
  </si>
  <si>
    <t>Providence</t>
  </si>
  <si>
    <t>2908</t>
  </si>
  <si>
    <t>OFF-ST-10000617</t>
  </si>
  <si>
    <t>Woodgrain Magazine Files by Perma</t>
  </si>
  <si>
    <t>1288</t>
  </si>
  <si>
    <t>CA-2018-154711</t>
  </si>
  <si>
    <t>TB-21355</t>
  </si>
  <si>
    <t>Todd Boyes</t>
  </si>
  <si>
    <t>FUR-FU-10000397</t>
  </si>
  <si>
    <t>Luxo Economy Swing Arm Lamp</t>
  </si>
  <si>
    <t>1296</t>
  </si>
  <si>
    <t>CA-2017-138898</t>
  </si>
  <si>
    <t>JH-16180</t>
  </si>
  <si>
    <t>Justin Hirsh</t>
  </si>
  <si>
    <t>Pueblo</t>
  </si>
  <si>
    <t>81001</t>
  </si>
  <si>
    <t>OFF-AP-10004487</t>
  </si>
  <si>
    <t>Kensington 4 Outlet MasterPiece Compact Power Control Center</t>
  </si>
  <si>
    <t>1297</t>
  </si>
  <si>
    <t>CA-2019-115427</t>
  </si>
  <si>
    <t>EB-13975</t>
  </si>
  <si>
    <t>Erica Bern</t>
  </si>
  <si>
    <t>94533</t>
  </si>
  <si>
    <t>1299</t>
  </si>
  <si>
    <t>CA-2018-134425</t>
  </si>
  <si>
    <t>QJ-19255</t>
  </si>
  <si>
    <t>Quincy Jones</t>
  </si>
  <si>
    <t>TEC-PH-10003555</t>
  </si>
  <si>
    <t>Motorola HK250 Universal Bluetooth Headset</t>
  </si>
  <si>
    <t>1303</t>
  </si>
  <si>
    <t>CA-2017-115847</t>
  </si>
  <si>
    <t>TC-21535</t>
  </si>
  <si>
    <t>Tracy Collins</t>
  </si>
  <si>
    <t>FUR-BO-10003433</t>
  </si>
  <si>
    <t>Sauder Cornerstone Collection Library</t>
  </si>
  <si>
    <t>1304</t>
  </si>
  <si>
    <t>US-2019-126179</t>
  </si>
  <si>
    <t>CS-12460</t>
  </si>
  <si>
    <t>Chuck Sachs</t>
  </si>
  <si>
    <t>FUR-FU-10002554</t>
  </si>
  <si>
    <t>Westinghouse Floor Lamp with Metal Mesh Shade, Black</t>
  </si>
  <si>
    <t>1315</t>
  </si>
  <si>
    <t>CA-2018-145919</t>
  </si>
  <si>
    <t>HG-14965</t>
  </si>
  <si>
    <t>Henry Goldwyn</t>
  </si>
  <si>
    <t>OFF-PA-10003072</t>
  </si>
  <si>
    <t>Eureka Recycled Copy Paper 8 1/2" x 11", Ream</t>
  </si>
  <si>
    <t>1319</t>
  </si>
  <si>
    <t>CA-2016-160773</t>
  </si>
  <si>
    <t>LW-16825</t>
  </si>
  <si>
    <t>Laurel Workman</t>
  </si>
  <si>
    <t>Deltona</t>
  </si>
  <si>
    <t>32725</t>
  </si>
  <si>
    <t>1321</t>
  </si>
  <si>
    <t>CA-2019-167703</t>
  </si>
  <si>
    <t>MC-17575</t>
  </si>
  <si>
    <t>Matt Collins</t>
  </si>
  <si>
    <t>1323</t>
  </si>
  <si>
    <t>CA-2019-121804</t>
  </si>
  <si>
    <t>LP-17095</t>
  </si>
  <si>
    <t>Liz Preis</t>
  </si>
  <si>
    <t>Murray</t>
  </si>
  <si>
    <t>42071</t>
  </si>
  <si>
    <t>OFF-AP-10004859</t>
  </si>
  <si>
    <t>Acco 6 Outlet Guardian Premium Surge Suppressor</t>
  </si>
  <si>
    <t>1324</t>
  </si>
  <si>
    <t>CA-2019-162635</t>
  </si>
  <si>
    <t>EB-14170</t>
  </si>
  <si>
    <t>Evan Bailliet</t>
  </si>
  <si>
    <t>OFF-PA-10002659</t>
  </si>
  <si>
    <t>Avoid Verbal Orders Carbonless Minifold Book</t>
  </si>
  <si>
    <t>1325</t>
  </si>
  <si>
    <t>CA-2016-107153</t>
  </si>
  <si>
    <t>GZ-14545</t>
  </si>
  <si>
    <t>George Zrebassa</t>
  </si>
  <si>
    <t>OFF-ST-10001321</t>
  </si>
  <si>
    <t>Decoflex Hanging Personal Folder File, Blue</t>
  </si>
  <si>
    <t>1328</t>
  </si>
  <si>
    <t>CA-2018-128258</t>
  </si>
  <si>
    <t>CP-12085</t>
  </si>
  <si>
    <t>Cathy Prescott</t>
  </si>
  <si>
    <t>OFF-PA-10004156</t>
  </si>
  <si>
    <t>Xerox 188</t>
  </si>
  <si>
    <t>1329</t>
  </si>
  <si>
    <t>CA-2019-106033</t>
  </si>
  <si>
    <t>FG-14260</t>
  </si>
  <si>
    <t>Frank Gastineau</t>
  </si>
  <si>
    <t>OFF-AR-10002818</t>
  </si>
  <si>
    <t>Panasonic KP-310 Heavy-Duty Electric Pencil Sharpener</t>
  </si>
  <si>
    <t>1330</t>
  </si>
  <si>
    <t>CA-2018-142762</t>
  </si>
  <si>
    <t>LD-17005</t>
  </si>
  <si>
    <t>Lisa DeCherney</t>
  </si>
  <si>
    <t>1331</t>
  </si>
  <si>
    <t>CA-2019-127705</t>
  </si>
  <si>
    <t>AB-10255</t>
  </si>
  <si>
    <t>Alejandro Ballentine</t>
  </si>
  <si>
    <t>TEC-PH-10000347</t>
  </si>
  <si>
    <t>Cush Cases Heavy Duty Rugged Cover Case for Samsung Galaxy S5 - Purple</t>
  </si>
  <si>
    <t>1333</t>
  </si>
  <si>
    <t>CA-2016-122567</t>
  </si>
  <si>
    <t>MN-17935</t>
  </si>
  <si>
    <t>Michael Nguyen</t>
  </si>
  <si>
    <t>OFF-BI-10002012</t>
  </si>
  <si>
    <t>Wilson Jones Easy Flow II Sheet Lifters</t>
  </si>
  <si>
    <t>1336</t>
  </si>
  <si>
    <t>CA-2018-122133</t>
  </si>
  <si>
    <t>JR-15670</t>
  </si>
  <si>
    <t>Jim Radford</t>
  </si>
  <si>
    <t>Middletown</t>
  </si>
  <si>
    <t>6457</t>
  </si>
  <si>
    <t>OFF-ST-10002574</t>
  </si>
  <si>
    <t>SAFCO Commercial Wire Shelving, Black</t>
  </si>
  <si>
    <t>1337</t>
  </si>
  <si>
    <t>US-2019-123281</t>
  </si>
  <si>
    <t>JF-15190</t>
  </si>
  <si>
    <t>Jamie Frazer</t>
  </si>
  <si>
    <t>FUR-FU-10003724</t>
  </si>
  <si>
    <t>Westinghouse Clip-On Gooseneck Lamps</t>
  </si>
  <si>
    <t>1338</t>
  </si>
  <si>
    <t>CA-2019-100524</t>
  </si>
  <si>
    <t>CM-12115</t>
  </si>
  <si>
    <t>Chad McGuire</t>
  </si>
  <si>
    <t>FUR-FU-10004018</t>
  </si>
  <si>
    <t>Tensor Computer Mounted Lamp</t>
  </si>
  <si>
    <t>1341</t>
  </si>
  <si>
    <t>CA-2019-113481</t>
  </si>
  <si>
    <t>AS-10045</t>
  </si>
  <si>
    <t>Aaron Smayling</t>
  </si>
  <si>
    <t>28540</t>
  </si>
  <si>
    <t>TEC-MA-10002178</t>
  </si>
  <si>
    <t>Cisco CP-7937G Unified IP Conference Station Phone</t>
  </si>
  <si>
    <t>1351</t>
  </si>
  <si>
    <t>CA-2016-153976</t>
  </si>
  <si>
    <t>BP-11290</t>
  </si>
  <si>
    <t>Beth Paige</t>
  </si>
  <si>
    <t>FUR-CH-10002880</t>
  </si>
  <si>
    <t>Global High-Back Leather Tilter, Burgundy</t>
  </si>
  <si>
    <t>1358</t>
  </si>
  <si>
    <t>CA-2018-145247</t>
  </si>
  <si>
    <t>ND-18370</t>
  </si>
  <si>
    <t>Natalie DeCherney</t>
  </si>
  <si>
    <t>OFF-PA-10003641</t>
  </si>
  <si>
    <t>Xerox 1909</t>
  </si>
  <si>
    <t>1359</t>
  </si>
  <si>
    <t>CA-2019-160045</t>
  </si>
  <si>
    <t>LB-16735</t>
  </si>
  <si>
    <t>Larry Blacks</t>
  </si>
  <si>
    <t>1360</t>
  </si>
  <si>
    <t>US-2016-151925</t>
  </si>
  <si>
    <t>KT-16465</t>
  </si>
  <si>
    <t>Kean Takahito</t>
  </si>
  <si>
    <t>FUR-CH-10002961</t>
  </si>
  <si>
    <t>Leather Task Chair, Black</t>
  </si>
  <si>
    <t>1361</t>
  </si>
  <si>
    <t>CA-2019-125199</t>
  </si>
  <si>
    <t>HM-14860</t>
  </si>
  <si>
    <t>Harry Marie</t>
  </si>
  <si>
    <t>OFF-AR-10002956</t>
  </si>
  <si>
    <t>Boston 16801 Nautilus Battery Pencil Sharpener</t>
  </si>
  <si>
    <t>1364</t>
  </si>
  <si>
    <t>US-2019-155425</t>
  </si>
  <si>
    <t>AB-10600</t>
  </si>
  <si>
    <t>Ann Blume</t>
  </si>
  <si>
    <t>1369</t>
  </si>
  <si>
    <t>CA-2019-133249</t>
  </si>
  <si>
    <t>SZ-20035</t>
  </si>
  <si>
    <t>Sam Zeldin</t>
  </si>
  <si>
    <t>Pico Rivera</t>
  </si>
  <si>
    <t>90660</t>
  </si>
  <si>
    <t>1372</t>
  </si>
  <si>
    <t>CA-2019-136672</t>
  </si>
  <si>
    <t>MG-17890</t>
  </si>
  <si>
    <t>Michael Granlund</t>
  </si>
  <si>
    <t>TEC-AC-10004510</t>
  </si>
  <si>
    <t>Logitech Desktop MK120 Mouse and keyboard Combo</t>
  </si>
  <si>
    <t>1382</t>
  </si>
  <si>
    <t>US-2018-100566</t>
  </si>
  <si>
    <t>JK-16120</t>
  </si>
  <si>
    <t>Julie Kriz</t>
  </si>
  <si>
    <t>FUR-FU-10003394</t>
  </si>
  <si>
    <t>Tenex "The Solids" Textured Chair Mats</t>
  </si>
  <si>
    <t>1383</t>
  </si>
  <si>
    <t>US-2018-108504</t>
  </si>
  <si>
    <t>PP-18955</t>
  </si>
  <si>
    <t>Paul Prost</t>
  </si>
  <si>
    <t>Smyrna</t>
  </si>
  <si>
    <t>30080</t>
  </si>
  <si>
    <t>OFF-ST-10002344</t>
  </si>
  <si>
    <t>Carina 42"Hx23 3/4"W Media Storage Unit</t>
  </si>
  <si>
    <t>1394</t>
  </si>
  <si>
    <t>CA-2019-124828</t>
  </si>
  <si>
    <t>YS-21880</t>
  </si>
  <si>
    <t>Yana Sorensen</t>
  </si>
  <si>
    <t>OFF-AR-10003514</t>
  </si>
  <si>
    <t>4009 Highlighters by Sanford</t>
  </si>
  <si>
    <t>1401</t>
  </si>
  <si>
    <t>CA-2018-159212</t>
  </si>
  <si>
    <t>KM-16375</t>
  </si>
  <si>
    <t>Katherine Murray</t>
  </si>
  <si>
    <t>24153</t>
  </si>
  <si>
    <t>TEC-PH-10003988</t>
  </si>
  <si>
    <t>LF Elite 3D Dazzle Designer Hard Case Cover, Lf Stylus Pen and Wiper For Apple Iphone 5c Mini Lite</t>
  </si>
  <si>
    <t>1410</t>
  </si>
  <si>
    <t>US-2018-122245</t>
  </si>
  <si>
    <t>AB-10105</t>
  </si>
  <si>
    <t>Adrian Barton</t>
  </si>
  <si>
    <t>FUR-TA-10002356</t>
  </si>
  <si>
    <t>Bevis Boat-Shaped Conference Table</t>
  </si>
  <si>
    <t>1414</t>
  </si>
  <si>
    <t>CA-2016-146640</t>
  </si>
  <si>
    <t>HA-14905</t>
  </si>
  <si>
    <t>Helen Abelman</t>
  </si>
  <si>
    <t>OFF-BI-10002867</t>
  </si>
  <si>
    <t>GBC Recycled Regency Composition Covers</t>
  </si>
  <si>
    <t>1415</t>
  </si>
  <si>
    <t>CA-2019-115994</t>
  </si>
  <si>
    <t>BT-11305</t>
  </si>
  <si>
    <t>Beth Thompson</t>
  </si>
  <si>
    <t>Costa Mesa</t>
  </si>
  <si>
    <t>92627</t>
  </si>
  <si>
    <t>TEC-AC-10000580</t>
  </si>
  <si>
    <t>Logitech G13 Programmable Gameboard with LCD Display</t>
  </si>
  <si>
    <t>1417</t>
  </si>
  <si>
    <t>CA-2017-126697</t>
  </si>
  <si>
    <t>SV-20815</t>
  </si>
  <si>
    <t>Stuart Van</t>
  </si>
  <si>
    <t>TEC-PH-10002922</t>
  </si>
  <si>
    <t>ShoreTel ShorePhone IP 230 VoIP phone</t>
  </si>
  <si>
    <t>1420</t>
  </si>
  <si>
    <t>CA-2017-124800</t>
  </si>
  <si>
    <t>RW-19540</t>
  </si>
  <si>
    <t>Rick Wilson</t>
  </si>
  <si>
    <t>OFF-PA-10000501</t>
  </si>
  <si>
    <t>Petty Cash Envelope</t>
  </si>
  <si>
    <t>1427</t>
  </si>
  <si>
    <t>US-2017-164448</t>
  </si>
  <si>
    <t>DK-12835</t>
  </si>
  <si>
    <t>Damala Kotsonis</t>
  </si>
  <si>
    <t>OFF-BI-10002949</t>
  </si>
  <si>
    <t>Prestige Round Ring Binders</t>
  </si>
  <si>
    <t>1436</t>
  </si>
  <si>
    <t>CA-2019-106852</t>
  </si>
  <si>
    <t>ST-20530</t>
  </si>
  <si>
    <t>Shui Tom</t>
  </si>
  <si>
    <t>Parma</t>
  </si>
  <si>
    <t>44134</t>
  </si>
  <si>
    <t>OFF-PA-10001639</t>
  </si>
  <si>
    <t>Xerox 203</t>
  </si>
  <si>
    <t>1442</t>
  </si>
  <si>
    <t>CA-2019-128160</t>
  </si>
  <si>
    <t>MM-17920</t>
  </si>
  <si>
    <t>Michael Moore</t>
  </si>
  <si>
    <t>OFF-BI-10001510</t>
  </si>
  <si>
    <t>Deluxe Heavy-Duty Vinyl Round Ring Binder</t>
  </si>
  <si>
    <t>1443</t>
  </si>
  <si>
    <t>CA-2019-117695</t>
  </si>
  <si>
    <t>PW-19030</t>
  </si>
  <si>
    <t>Pauline Webber</t>
  </si>
  <si>
    <t>OFF-PA-10002713</t>
  </si>
  <si>
    <t>Adams Phone Message Book, 200 Message Capacity, 8 1/16” x 11”</t>
  </si>
  <si>
    <t>1444</t>
  </si>
  <si>
    <t>CA-2017-166135</t>
  </si>
  <si>
    <t>SC-20440</t>
  </si>
  <si>
    <t>Shaun Chance</t>
  </si>
  <si>
    <t>1451</t>
  </si>
  <si>
    <t>US-2017-160150</t>
  </si>
  <si>
    <t>TS-21085</t>
  </si>
  <si>
    <t>Thais Sissman</t>
  </si>
  <si>
    <t>OFF-BI-10004352</t>
  </si>
  <si>
    <t>Wilson Jones DublLock D-Ring Binders</t>
  </si>
  <si>
    <t>1452</t>
  </si>
  <si>
    <t>CA-2018-133711</t>
  </si>
  <si>
    <t>MC-17425</t>
  </si>
  <si>
    <t>Mark Cousins</t>
  </si>
  <si>
    <t>Mobile</t>
  </si>
  <si>
    <t>36608</t>
  </si>
  <si>
    <t>OFF-PA-10001685</t>
  </si>
  <si>
    <t>1456</t>
  </si>
  <si>
    <t>CA-2019-148474</t>
  </si>
  <si>
    <t>ME-17320</t>
  </si>
  <si>
    <t>Maria Etezadi</t>
  </si>
  <si>
    <t>OFF-BI-10000977</t>
  </si>
  <si>
    <t>Ibico Plastic Spiral Binding Combs</t>
  </si>
  <si>
    <t>1459</t>
  </si>
  <si>
    <t>CA-2018-123722</t>
  </si>
  <si>
    <t>NH-18610</t>
  </si>
  <si>
    <t>Nicole Hansen</t>
  </si>
  <si>
    <t>Irving</t>
  </si>
  <si>
    <t>75061</t>
  </si>
  <si>
    <t>1462</t>
  </si>
  <si>
    <t>US-2018-128902</t>
  </si>
  <si>
    <t>MB-18085</t>
  </si>
  <si>
    <t>Mick Brown</t>
  </si>
  <si>
    <t>Vineland</t>
  </si>
  <si>
    <t>8360</t>
  </si>
  <si>
    <t>1465</t>
  </si>
  <si>
    <t>US-2018-104794</t>
  </si>
  <si>
    <t>KD-16495</t>
  </si>
  <si>
    <t>Keith Dawkins</t>
  </si>
  <si>
    <t>1473</t>
  </si>
  <si>
    <t>CA-2019-164959</t>
  </si>
  <si>
    <t>KN-16390</t>
  </si>
  <si>
    <t>Katherine Nockton</t>
  </si>
  <si>
    <t>1475</t>
  </si>
  <si>
    <t>CA-2018-113138</t>
  </si>
  <si>
    <t>NP-18685</t>
  </si>
  <si>
    <t>Nora Pelletier</t>
  </si>
  <si>
    <t>Niagara Falls</t>
  </si>
  <si>
    <t>14304</t>
  </si>
  <si>
    <t>OFF-AR-10003770</t>
  </si>
  <si>
    <t>Newell 340</t>
  </si>
  <si>
    <t>1478</t>
  </si>
  <si>
    <t>CA-2018-121958</t>
  </si>
  <si>
    <t>CS-12505</t>
  </si>
  <si>
    <t>Cindy Stewart</t>
  </si>
  <si>
    <t>Thomasville</t>
  </si>
  <si>
    <t>27360</t>
  </si>
  <si>
    <t>OFF-SU-10000381</t>
  </si>
  <si>
    <t>Acme Forged Steel Scissors with Black Enamel Handles</t>
  </si>
  <si>
    <t>1486</t>
  </si>
  <si>
    <t>CA-2016-119032</t>
  </si>
  <si>
    <t>MS-17770</t>
  </si>
  <si>
    <t>Maxwell Schwartz</t>
  </si>
  <si>
    <t>OFF-FA-10003021</t>
  </si>
  <si>
    <t>1487</t>
  </si>
  <si>
    <t>CA-2017-140410</t>
  </si>
  <si>
    <t>CM-12655</t>
  </si>
  <si>
    <t>Corinna Mitchell</t>
  </si>
  <si>
    <t>TEC-PH-10003580</t>
  </si>
  <si>
    <t>Cisco IP Phone 7961G-GE VoIP phone</t>
  </si>
  <si>
    <t>1490</t>
  </si>
  <si>
    <t>CA-2016-136280</t>
  </si>
  <si>
    <t>Co-12640</t>
  </si>
  <si>
    <t>Corey-Lock</t>
  </si>
  <si>
    <t>OFF-LA-10000452</t>
  </si>
  <si>
    <t>Avery 488</t>
  </si>
  <si>
    <t>1492</t>
  </si>
  <si>
    <t>CA-2019-166436</t>
  </si>
  <si>
    <t>TS-21370</t>
  </si>
  <si>
    <t>Todd Sumrall</t>
  </si>
  <si>
    <t>OFF-PA-10001838</t>
  </si>
  <si>
    <t>Adams Telephone Message Book W/Dividers/Space For Phone Numbers, 5 1/4"X8 1/2", 300/Messages</t>
  </si>
  <si>
    <t>1494</t>
  </si>
  <si>
    <t>CA-2019-139661</t>
  </si>
  <si>
    <t>JW-15220</t>
  </si>
  <si>
    <t>Jane Waco</t>
  </si>
  <si>
    <t>FUR-FU-10002885</t>
  </si>
  <si>
    <t>Magna Visual Magnetic Picture Hangers</t>
  </si>
  <si>
    <t>1496</t>
  </si>
  <si>
    <t>CA-2019-152485</t>
  </si>
  <si>
    <t>JD-15790</t>
  </si>
  <si>
    <t>John Dryer</t>
  </si>
  <si>
    <t>Coppell</t>
  </si>
  <si>
    <t>75019</t>
  </si>
  <si>
    <t>OFF-AR-10003759</t>
  </si>
  <si>
    <t>Crayola Anti Dust Chalk, 12/Pack</t>
  </si>
  <si>
    <t>1505</t>
  </si>
  <si>
    <t>CA-2017-153388</t>
  </si>
  <si>
    <t>PC-19000</t>
  </si>
  <si>
    <t>Pauline Chand</t>
  </si>
  <si>
    <t>OFF-AR-10001868</t>
  </si>
  <si>
    <t>Prang Dustless Chalk Sticks</t>
  </si>
  <si>
    <t>1507</t>
  </si>
  <si>
    <t>CA-2019-154935</t>
  </si>
  <si>
    <t>AR-10540</t>
  </si>
  <si>
    <t>Andy Reiter</t>
  </si>
  <si>
    <t>OFF-BI-10003708</t>
  </si>
  <si>
    <t>Acco Four Pocket Poly Ring Binder with Label Holder, Smoke, 1"</t>
  </si>
  <si>
    <t>1516</t>
  </si>
  <si>
    <t>US-2019-160759</t>
  </si>
  <si>
    <t>AI-10855</t>
  </si>
  <si>
    <t>Arianne Irving</t>
  </si>
  <si>
    <t>1518</t>
  </si>
  <si>
    <t>CA-2016-111059</t>
  </si>
  <si>
    <t>TB-21400</t>
  </si>
  <si>
    <t>Tom Boeckenhauer</t>
  </si>
  <si>
    <t>1521</t>
  </si>
  <si>
    <t>CA-2019-109946</t>
  </si>
  <si>
    <t>PL-18925</t>
  </si>
  <si>
    <t>Paul Lucas</t>
  </si>
  <si>
    <t>OFF-AR-10001419</t>
  </si>
  <si>
    <t>Newell 325</t>
  </si>
  <si>
    <t>1522</t>
  </si>
  <si>
    <t>CA-2017-144806</t>
  </si>
  <si>
    <t>GH-14425</t>
  </si>
  <si>
    <t>Gary Hwang</t>
  </si>
  <si>
    <t>FUR-FU-10002253</t>
  </si>
  <si>
    <t>Howard Miller 13" Diameter Pewter Finish Round Wall Clock</t>
  </si>
  <si>
    <t>1535</t>
  </si>
  <si>
    <t>CA-2019-124086</t>
  </si>
  <si>
    <t>MP-18175</t>
  </si>
  <si>
    <t>Mike Pelletier</t>
  </si>
  <si>
    <t>Laguna Niguel</t>
  </si>
  <si>
    <t>92677</t>
  </si>
  <si>
    <t>1536</t>
  </si>
  <si>
    <t>CA-2018-112389</t>
  </si>
  <si>
    <t>JM-15655</t>
  </si>
  <si>
    <t>Jim Mitchum</t>
  </si>
  <si>
    <t>Bridgeton</t>
  </si>
  <si>
    <t>8302</t>
  </si>
  <si>
    <t>OFF-ST-10000419</t>
  </si>
  <si>
    <t>Rogers Jumbo File, Granite</t>
  </si>
  <si>
    <t>1538</t>
  </si>
  <si>
    <t>CA-2019-121888</t>
  </si>
  <si>
    <t>CL-11890</t>
  </si>
  <si>
    <t>Carl Ludwig</t>
  </si>
  <si>
    <t>Everett</t>
  </si>
  <si>
    <t>2149</t>
  </si>
  <si>
    <t>TEC-PH-10000439</t>
  </si>
  <si>
    <t>GE DSL Phone Line Filter</t>
  </si>
  <si>
    <t>1544</t>
  </si>
  <si>
    <t>CA-2016-107181</t>
  </si>
  <si>
    <t>DB-13270</t>
  </si>
  <si>
    <t>Deborah Brumfield</t>
  </si>
  <si>
    <t>OFF-BI-10004230</t>
  </si>
  <si>
    <t>GBC Recycled Grain Textured Covers</t>
  </si>
  <si>
    <t>1552</t>
  </si>
  <si>
    <t>CA-2018-159345</t>
  </si>
  <si>
    <t>IG-15085</t>
  </si>
  <si>
    <t>Ivan Gibson</t>
  </si>
  <si>
    <t>OFF-PA-10000806</t>
  </si>
  <si>
    <t>Xerox 1934</t>
  </si>
  <si>
    <t>1554</t>
  </si>
  <si>
    <t>CA-2019-158386</t>
  </si>
  <si>
    <t>BO-11425</t>
  </si>
  <si>
    <t>Bobby Odegard</t>
  </si>
  <si>
    <t>1556</t>
  </si>
  <si>
    <t>CA-2019-120761</t>
  </si>
  <si>
    <t>AB-10150</t>
  </si>
  <si>
    <t>Aimee Bixby</t>
  </si>
  <si>
    <t>11561</t>
  </si>
  <si>
    <t>1557</t>
  </si>
  <si>
    <t>CA-2018-109176</t>
  </si>
  <si>
    <t>JW-16075</t>
  </si>
  <si>
    <t>Julia West</t>
  </si>
  <si>
    <t>OFF-EN-10003134</t>
  </si>
  <si>
    <t>1560</t>
  </si>
  <si>
    <t>CA-2018-126809</t>
  </si>
  <si>
    <t>EB-13750</t>
  </si>
  <si>
    <t>Edward Becker</t>
  </si>
  <si>
    <t>1563</t>
  </si>
  <si>
    <t>US-2019-102890</t>
  </si>
  <si>
    <t>SG-20470</t>
  </si>
  <si>
    <t>Sheri Gordon</t>
  </si>
  <si>
    <t>1564</t>
  </si>
  <si>
    <t>CA-2017-158554</t>
  </si>
  <si>
    <t>CM-12190</t>
  </si>
  <si>
    <t>Charlotte Melton</t>
  </si>
  <si>
    <t>OFF-PA-10004000</t>
  </si>
  <si>
    <t>While You Were Out Pads, 50 per Pad, 4 x 5 1/4, Green Cycle</t>
  </si>
  <si>
    <t>1567</t>
  </si>
  <si>
    <t>CA-2017-129112</t>
  </si>
  <si>
    <t>AW-10840</t>
  </si>
  <si>
    <t>Anthony Witt</t>
  </si>
  <si>
    <t>Allen</t>
  </si>
  <si>
    <t>75002</t>
  </si>
  <si>
    <t>TEC-AC-10003038</t>
  </si>
  <si>
    <t>Kingston Digital DataTraveler 16GB USB 2.0</t>
  </si>
  <si>
    <t>1575</t>
  </si>
  <si>
    <t>CA-2016-101602</t>
  </si>
  <si>
    <t>MC-18100</t>
  </si>
  <si>
    <t>Mick Crebagga</t>
  </si>
  <si>
    <t>El Paso</t>
  </si>
  <si>
    <t>79907</t>
  </si>
  <si>
    <t>TEC-PH-10000169</t>
  </si>
  <si>
    <t>ARKON Windshield Dashboard Air Vent Car Mount Holder</t>
  </si>
  <si>
    <t>1577</t>
  </si>
  <si>
    <t>CA-2018-109057</t>
  </si>
  <si>
    <t>TT-21460</t>
  </si>
  <si>
    <t>Tonja Turnell</t>
  </si>
  <si>
    <t>OFF-ST-10002406</t>
  </si>
  <si>
    <t>Pizazz Global Quick File</t>
  </si>
  <si>
    <t>1590</t>
  </si>
  <si>
    <t>CA-2018-109911</t>
  </si>
  <si>
    <t>VG-21805</t>
  </si>
  <si>
    <t>Vivek Grady</t>
  </si>
  <si>
    <t>1591</t>
  </si>
  <si>
    <t>US-2018-132423</t>
  </si>
  <si>
    <t>MY-18295</t>
  </si>
  <si>
    <t>Muhammed Yedwab</t>
  </si>
  <si>
    <t>Grapevine</t>
  </si>
  <si>
    <t>76051</t>
  </si>
  <si>
    <t>OFF-AR-10001221</t>
  </si>
  <si>
    <t>Dixon Ticonderoga Erasable Colored Pencil Set, 12-Color</t>
  </si>
  <si>
    <t>1593</t>
  </si>
  <si>
    <t>CA-2017-122826</t>
  </si>
  <si>
    <t>RD-19480</t>
  </si>
  <si>
    <t>Rick Duston</t>
  </si>
  <si>
    <t>Olympia</t>
  </si>
  <si>
    <t>98502</t>
  </si>
  <si>
    <t>TEC-PH-10004830</t>
  </si>
  <si>
    <t>Pyle PRT45 Retro Home Telephone</t>
  </si>
  <si>
    <t>1595</t>
  </si>
  <si>
    <t>CA-2017-118423</t>
  </si>
  <si>
    <t>DP-13390</t>
  </si>
  <si>
    <t>Dennis Pardue</t>
  </si>
  <si>
    <t>FUR-BO-10000362</t>
  </si>
  <si>
    <t>Sauder Inglewood Library Bookcases</t>
  </si>
  <si>
    <t>1611</t>
  </si>
  <si>
    <t>CA-2016-156349</t>
  </si>
  <si>
    <t>ML-17395</t>
  </si>
  <si>
    <t>Marina Lichtenstein</t>
  </si>
  <si>
    <t>1621</t>
  </si>
  <si>
    <t>CA-2019-108560</t>
  </si>
  <si>
    <t>JC-15385</t>
  </si>
  <si>
    <t>Jenna Caffey</t>
  </si>
  <si>
    <t>Kent</t>
  </si>
  <si>
    <t>98031</t>
  </si>
  <si>
    <t>FUR-FU-10002937</t>
  </si>
  <si>
    <t>GE 48" Fluorescent Tube, Cool White Energy Saver, 34 Watts, 30/Box</t>
  </si>
  <si>
    <t>1625</t>
  </si>
  <si>
    <t>CA-2017-157084</t>
  </si>
  <si>
    <t>JG-15160</t>
  </si>
  <si>
    <t>James Galang</t>
  </si>
  <si>
    <t>1628</t>
  </si>
  <si>
    <t>CA-2017-143119</t>
  </si>
  <si>
    <t>MC-17275</t>
  </si>
  <si>
    <t>Marc Crier</t>
  </si>
  <si>
    <t>Lafayette</t>
  </si>
  <si>
    <t>70506</t>
  </si>
  <si>
    <t>FUR-CH-10001270</t>
  </si>
  <si>
    <t>Harbour Creations Steel Folding Chair</t>
  </si>
  <si>
    <t>1636</t>
  </si>
  <si>
    <t>CA-2016-168984</t>
  </si>
  <si>
    <t>NW-18400</t>
  </si>
  <si>
    <t>Natalie Webber</t>
  </si>
  <si>
    <t>Tigard</t>
  </si>
  <si>
    <t>97224</t>
  </si>
  <si>
    <t>1639</t>
  </si>
  <si>
    <t>CA-2018-157266</t>
  </si>
  <si>
    <t>TB-21280</t>
  </si>
  <si>
    <t>Toby Braunhardt</t>
  </si>
  <si>
    <t>District of Columbia</t>
  </si>
  <si>
    <t>20016</t>
  </si>
  <si>
    <t>OFF-PA-10002689</t>
  </si>
  <si>
    <t>Weyerhaeuser First Choice Laser/Copy Paper (20Lb. and 88 Bright)</t>
  </si>
  <si>
    <t>1643</t>
  </si>
  <si>
    <t>US-2016-134712</t>
  </si>
  <si>
    <t>BS-11380</t>
  </si>
  <si>
    <t>Bill Stewart</t>
  </si>
  <si>
    <t>Skokie</t>
  </si>
  <si>
    <t>60076</t>
  </si>
  <si>
    <t>OFF-FA-10003112</t>
  </si>
  <si>
    <t>1651</t>
  </si>
  <si>
    <t>CA-2016-135699</t>
  </si>
  <si>
    <t>HH-15010</t>
  </si>
  <si>
    <t>Hilary Holden</t>
  </si>
  <si>
    <t>OFF-PA-10004475</t>
  </si>
  <si>
    <t>Xerox 1940</t>
  </si>
  <si>
    <t>1653</t>
  </si>
  <si>
    <t>US-2019-132444</t>
  </si>
  <si>
    <t>CD-12280</t>
  </si>
  <si>
    <t>Christina DeMoss</t>
  </si>
  <si>
    <t>1659</t>
  </si>
  <si>
    <t>CA-2019-161809</t>
  </si>
  <si>
    <t>TH-21100</t>
  </si>
  <si>
    <t>Thea Hendricks</t>
  </si>
  <si>
    <t>TEC-PH-10004922</t>
  </si>
  <si>
    <t>RCA Visys Integrated PBX 8-Line Router</t>
  </si>
  <si>
    <t>1660</t>
  </si>
  <si>
    <t>CA-2019-127285</t>
  </si>
  <si>
    <t>MM-18055</t>
  </si>
  <si>
    <t>Michelle Moray</t>
  </si>
  <si>
    <t>OFF-BI-10004330</t>
  </si>
  <si>
    <t>GBC Velobind Prepunched Cover Sets, Regency Series</t>
  </si>
  <si>
    <t>1664</t>
  </si>
  <si>
    <t>CA-2018-128531</t>
  </si>
  <si>
    <t>NS-18505</t>
  </si>
  <si>
    <t>Neola Schneider</t>
  </si>
  <si>
    <t>1672</t>
  </si>
  <si>
    <t>CA-2018-107615</t>
  </si>
  <si>
    <t>RB-19645</t>
  </si>
  <si>
    <t>Robert Barroso</t>
  </si>
  <si>
    <t>North Las Vegas</t>
  </si>
  <si>
    <t>89031</t>
  </si>
  <si>
    <t>TEC-AC-10001013</t>
  </si>
  <si>
    <t>Logitech ClearChat Comfort/USB Headset H390</t>
  </si>
  <si>
    <t>1674</t>
  </si>
  <si>
    <t>CA-2017-150560</t>
  </si>
  <si>
    <t>SW-20455</t>
  </si>
  <si>
    <t>Shaun Weien</t>
  </si>
  <si>
    <t>Suffolk</t>
  </si>
  <si>
    <t>23434</t>
  </si>
  <si>
    <t>OFF-LA-10003930</t>
  </si>
  <si>
    <t>Dot Matrix Printer Tape Reel Labels, White, 5000/Box</t>
  </si>
  <si>
    <t>1677</t>
  </si>
  <si>
    <t>CA-2018-122728</t>
  </si>
  <si>
    <t>EB-13930</t>
  </si>
  <si>
    <t>Eric Barreto</t>
  </si>
  <si>
    <t>1683</t>
  </si>
  <si>
    <t>US-2018-101497</t>
  </si>
  <si>
    <t>PS-18760</t>
  </si>
  <si>
    <t>Pamela Stobb</t>
  </si>
  <si>
    <t>OFF-PA-10000176</t>
  </si>
  <si>
    <t>Xerox 1887</t>
  </si>
  <si>
    <t>1691</t>
  </si>
  <si>
    <t>CA-2019-129833</t>
  </si>
  <si>
    <t>HF-14995</t>
  </si>
  <si>
    <t>Herbert Flentye</t>
  </si>
  <si>
    <t>Indianapolis</t>
  </si>
  <si>
    <t>46203</t>
  </si>
  <si>
    <t>OFF-PA-10000575</t>
  </si>
  <si>
    <t>Wirebound Message Books, Four 2 3/4 x 5 White Forms per Page</t>
  </si>
  <si>
    <t>1693</t>
  </si>
  <si>
    <t>US-2018-154361</t>
  </si>
  <si>
    <t>HZ-14950</t>
  </si>
  <si>
    <t>Henia Zydlo</t>
  </si>
  <si>
    <t>FUR-FU-10004020</t>
  </si>
  <si>
    <t>Advantus Panel Wall Acrylic Frame</t>
  </si>
  <si>
    <t>1704</t>
  </si>
  <si>
    <t>CA-2016-139857</t>
  </si>
  <si>
    <t>CD-12790</t>
  </si>
  <si>
    <t>Cynthia Delaney</t>
  </si>
  <si>
    <t>OFF-FA-10001843</t>
  </si>
  <si>
    <t>1707</t>
  </si>
  <si>
    <t>CA-2019-123491</t>
  </si>
  <si>
    <t>JK-15205</t>
  </si>
  <si>
    <t>Jamie Kunitz</t>
  </si>
  <si>
    <t>OFF-LA-10003077</t>
  </si>
  <si>
    <t>Avery 500</t>
  </si>
  <si>
    <t>1728</t>
  </si>
  <si>
    <t>US-2019-164056</t>
  </si>
  <si>
    <t>FM-14215</t>
  </si>
  <si>
    <t>Filia McAdams</t>
  </si>
  <si>
    <t>FUR-TA-10001307</t>
  </si>
  <si>
    <t>SAFCO PlanMaster Heigh-Adjustable Drafting Table Base, 43w x 30d x 30-37h, Black</t>
  </si>
  <si>
    <t>1741</t>
  </si>
  <si>
    <t>CA-2016-110527</t>
  </si>
  <si>
    <t>ED-13885</t>
  </si>
  <si>
    <t>Emily Ducich</t>
  </si>
  <si>
    <t>OFF-LA-10000262</t>
  </si>
  <si>
    <t>Avery 494</t>
  </si>
  <si>
    <t>1749</t>
  </si>
  <si>
    <t>US-2016-157406</t>
  </si>
  <si>
    <t>DA-13450</t>
  </si>
  <si>
    <t>Dianna Arnett</t>
  </si>
  <si>
    <t>1752</t>
  </si>
  <si>
    <t>CA-2019-168837</t>
  </si>
  <si>
    <t>JW-15955</t>
  </si>
  <si>
    <t>Joni Wasserman</t>
  </si>
  <si>
    <t>1759</t>
  </si>
  <si>
    <t>CA-2016-139017</t>
  </si>
  <si>
    <t>RM-19375</t>
  </si>
  <si>
    <t>Raymond Messe</t>
  </si>
  <si>
    <t>1764</t>
  </si>
  <si>
    <t>CA-2018-110254</t>
  </si>
  <si>
    <t>ML-17755</t>
  </si>
  <si>
    <t>Max Ludwig</t>
  </si>
  <si>
    <t>OFF-SU-10002573</t>
  </si>
  <si>
    <t>Acme 10" Easy Grip Assistive Scissors</t>
  </si>
  <si>
    <t>1768</t>
  </si>
  <si>
    <t>US-2016-158057</t>
  </si>
  <si>
    <t>CC-12685</t>
  </si>
  <si>
    <t>Craig Carroll</t>
  </si>
  <si>
    <t>Greensboro</t>
  </si>
  <si>
    <t>27405</t>
  </si>
  <si>
    <t>1784</t>
  </si>
  <si>
    <t>CA-2019-166317</t>
  </si>
  <si>
    <t>JE-15610</t>
  </si>
  <si>
    <t>Jim Epp</t>
  </si>
  <si>
    <t>1788</t>
  </si>
  <si>
    <t>CA-2017-154326</t>
  </si>
  <si>
    <t>RP-19855</t>
  </si>
  <si>
    <t>Roy Phan</t>
  </si>
  <si>
    <t>Kenosha</t>
  </si>
  <si>
    <t>53142</t>
  </si>
  <si>
    <t>TEC-PH-10001819</t>
  </si>
  <si>
    <t>Innergie mMini Combo Duo USB Travel Charging Kit</t>
  </si>
  <si>
    <t>1794</t>
  </si>
  <si>
    <t>CA-2016-104773</t>
  </si>
  <si>
    <t>TB-21175</t>
  </si>
  <si>
    <t>Thomas Boland</t>
  </si>
  <si>
    <t>OFF-ST-10000777</t>
  </si>
  <si>
    <t>Companion Letter/Legal File, Black</t>
  </si>
  <si>
    <t>1795</t>
  </si>
  <si>
    <t>CA-2018-140774</t>
  </si>
  <si>
    <t>BE-11455</t>
  </si>
  <si>
    <t>Brad Eason</t>
  </si>
  <si>
    <t>Olathe</t>
  </si>
  <si>
    <t>Kansas</t>
  </si>
  <si>
    <t>66062</t>
  </si>
  <si>
    <t>1800</t>
  </si>
  <si>
    <t>CA-2018-121034</t>
  </si>
  <si>
    <t>JF-15565</t>
  </si>
  <si>
    <t>Jill Fjeld</t>
  </si>
  <si>
    <t>1809</t>
  </si>
  <si>
    <t>CA-2018-164938</t>
  </si>
  <si>
    <t>PB-19210</t>
  </si>
  <si>
    <t>Phillip Breyer</t>
  </si>
  <si>
    <t>Tulsa</t>
  </si>
  <si>
    <t>74133</t>
  </si>
  <si>
    <t>TEC-PH-10004897</t>
  </si>
  <si>
    <t>Mediabridge Sport Armband iPhone 5s</t>
  </si>
  <si>
    <t>1813</t>
  </si>
  <si>
    <t>US-2019-161193</t>
  </si>
  <si>
    <t>BT-11680</t>
  </si>
  <si>
    <t>Brian Thompson</t>
  </si>
  <si>
    <t>FUR-FU-10001861</t>
  </si>
  <si>
    <t>Floodlight Indoor Halogen Bulbs, 1 Bulb per Pack, 60 Watts</t>
  </si>
  <si>
    <t>1819</t>
  </si>
  <si>
    <t>US-2016-130379</t>
  </si>
  <si>
    <t>JL-15235</t>
  </si>
  <si>
    <t>Janet Lee</t>
  </si>
  <si>
    <t>OFF-AP-10001394</t>
  </si>
  <si>
    <t>Harmony Air Purifier</t>
  </si>
  <si>
    <t>1828</t>
  </si>
  <si>
    <t>CA-2018-109344</t>
  </si>
  <si>
    <t>CH-12070</t>
  </si>
  <si>
    <t>Cathy Hwang</t>
  </si>
  <si>
    <t>Raleigh</t>
  </si>
  <si>
    <t>27604</t>
  </si>
  <si>
    <t>TEC-PH-10002624</t>
  </si>
  <si>
    <t>Samsung Galaxy S4 Mini</t>
  </si>
  <si>
    <t>1829</t>
  </si>
  <si>
    <t>US-2017-140851</t>
  </si>
  <si>
    <t>ND-18460</t>
  </si>
  <si>
    <t>Neil Ducich</t>
  </si>
  <si>
    <t>Macon</t>
  </si>
  <si>
    <t>31204</t>
  </si>
  <si>
    <t>OFF-PA-10000019</t>
  </si>
  <si>
    <t>Xerox 1931</t>
  </si>
  <si>
    <t>1838</t>
  </si>
  <si>
    <t>CA-2016-117345</t>
  </si>
  <si>
    <t>BF-10975</t>
  </si>
  <si>
    <t>Barbara Fisher</t>
  </si>
  <si>
    <t>1842</t>
  </si>
  <si>
    <t>CA-2018-157763</t>
  </si>
  <si>
    <t>KH-16330</t>
  </si>
  <si>
    <t>Katharine Harms</t>
  </si>
  <si>
    <t>Bowling Green</t>
  </si>
  <si>
    <t>42104</t>
  </si>
  <si>
    <t>FUR-CH-10000988</t>
  </si>
  <si>
    <t>Hon Olson Stacker Stools</t>
  </si>
  <si>
    <t>1845</t>
  </si>
  <si>
    <t>US-2019-113852</t>
  </si>
  <si>
    <t>GW-14605</t>
  </si>
  <si>
    <t>Giulietta Weimer</t>
  </si>
  <si>
    <t>TEC-AC-10003027</t>
  </si>
  <si>
    <t>Imation 8GB Mini TravelDrive USB 2.0 Flash Drive</t>
  </si>
  <si>
    <t>1864</t>
  </si>
  <si>
    <t>US-2018-100839</t>
  </si>
  <si>
    <t>NC-18625</t>
  </si>
  <si>
    <t>Noah Childs</t>
  </si>
  <si>
    <t>FUR-TA-10004575</t>
  </si>
  <si>
    <t>Hon 5100 Series Wood Tables</t>
  </si>
  <si>
    <t>1871</t>
  </si>
  <si>
    <t>CA-2016-116932</t>
  </si>
  <si>
    <t>ME-18010</t>
  </si>
  <si>
    <t>Michelle Ellison</t>
  </si>
  <si>
    <t>OFF-AR-10002067</t>
  </si>
  <si>
    <t>Newell 334</t>
  </si>
  <si>
    <t>1874</t>
  </si>
  <si>
    <t>CA-2019-142888</t>
  </si>
  <si>
    <t>BP-11230</t>
  </si>
  <si>
    <t>Benjamin Patterson</t>
  </si>
  <si>
    <t>Spokane</t>
  </si>
  <si>
    <t>99207</t>
  </si>
  <si>
    <t>FUR-TA-10004767</t>
  </si>
  <si>
    <t>Safco Drafting Table</t>
  </si>
  <si>
    <t>1877</t>
  </si>
  <si>
    <t>CA-2019-112039</t>
  </si>
  <si>
    <t>JC-15775</t>
  </si>
  <si>
    <t>John Castell</t>
  </si>
  <si>
    <t>1895</t>
  </si>
  <si>
    <t>US-2019-108063</t>
  </si>
  <si>
    <t>AS-10090</t>
  </si>
  <si>
    <t>Adam Shillingsburg</t>
  </si>
  <si>
    <t>Charlottesville</t>
  </si>
  <si>
    <t>22901</t>
  </si>
  <si>
    <t>OFF-AR-10001446</t>
  </si>
  <si>
    <t>Newell 309</t>
  </si>
  <si>
    <t>1897</t>
  </si>
  <si>
    <t>CA-2019-141789</t>
  </si>
  <si>
    <t>AC-10450</t>
  </si>
  <si>
    <t>Amy Cox</t>
  </si>
  <si>
    <t>OFF-BI-10001359</t>
  </si>
  <si>
    <t>GBC DocuBind TL300 Electric Binding System</t>
  </si>
  <si>
    <t>1906</t>
  </si>
  <si>
    <t>CA-2019-154410</t>
  </si>
  <si>
    <t>MD-17860</t>
  </si>
  <si>
    <t>Michael Dominguez</t>
  </si>
  <si>
    <t>1910</t>
  </si>
  <si>
    <t>CA-2019-105886</t>
  </si>
  <si>
    <t>DB-13660</t>
  </si>
  <si>
    <t>Duane Benoit</t>
  </si>
  <si>
    <t>FUR-FU-10001037</t>
  </si>
  <si>
    <t>DAX Charcoal/Nickel-Tone Document Frame, 5 x 7</t>
  </si>
  <si>
    <t>1914</t>
  </si>
  <si>
    <t>CA-2016-103366</t>
  </si>
  <si>
    <t>EH-13990</t>
  </si>
  <si>
    <t>Erica Hackney</t>
  </si>
  <si>
    <t>1920</t>
  </si>
  <si>
    <t>US-2019-111423</t>
  </si>
  <si>
    <t>EH-13765</t>
  </si>
  <si>
    <t>Edward Hooks</t>
  </si>
  <si>
    <t>Watertown</t>
  </si>
  <si>
    <t>13601</t>
  </si>
  <si>
    <t>OFF-BI-10003091</t>
  </si>
  <si>
    <t>GBC DocuBind TL200 Manual Binding Machine</t>
  </si>
  <si>
    <t>1923</t>
  </si>
  <si>
    <t>CA-2018-156685</t>
  </si>
  <si>
    <t>SC-20230</t>
  </si>
  <si>
    <t>Scot Coram</t>
  </si>
  <si>
    <t>76017</t>
  </si>
  <si>
    <t>TEC-PH-10004345</t>
  </si>
  <si>
    <t>Cisco SPA 502G IP Phone</t>
  </si>
  <si>
    <t>1938</t>
  </si>
  <si>
    <t>CA-2018-112109</t>
  </si>
  <si>
    <t>JE-15715</t>
  </si>
  <si>
    <t>Joe Elijah</t>
  </si>
  <si>
    <t>Broomfield</t>
  </si>
  <si>
    <t>80020</t>
  </si>
  <si>
    <t>OFF-BI-10002082</t>
  </si>
  <si>
    <t>GBC Twin Loop Wire Binding Elements</t>
  </si>
  <si>
    <t>1947</t>
  </si>
  <si>
    <t>CA-2019-157987</t>
  </si>
  <si>
    <t>AC-10615</t>
  </si>
  <si>
    <t>Ann Chong</t>
  </si>
  <si>
    <t>1973</t>
  </si>
  <si>
    <t>CA-2016-148950</t>
  </si>
  <si>
    <t>JD-16015</t>
  </si>
  <si>
    <t>Joy Daniels</t>
  </si>
  <si>
    <t>OFF-BI-10001249</t>
  </si>
  <si>
    <t>Avery Heavy-Duty EZD View Binder with Locking Rings</t>
  </si>
  <si>
    <t>1987</t>
  </si>
  <si>
    <t>CA-2018-147417</t>
  </si>
  <si>
    <t>CB-12415</t>
  </si>
  <si>
    <t>Christy Brittain</t>
  </si>
  <si>
    <t>TEC-CO-10001449</t>
  </si>
  <si>
    <t>Hewlett Packard LaserJet 3310 Copier</t>
  </si>
  <si>
    <t>1996</t>
  </si>
  <si>
    <t>US-2019-147221</t>
  </si>
  <si>
    <t>JS-16030</t>
  </si>
  <si>
    <t>Joy Smith</t>
  </si>
  <si>
    <t>OFF-AP-10002534</t>
  </si>
  <si>
    <t>3.6 Cubic Foot Counter Height Office Refrigerator</t>
  </si>
  <si>
    <t>2001</t>
  </si>
  <si>
    <t>CA-2019-166128</t>
  </si>
  <si>
    <t>LW-17215</t>
  </si>
  <si>
    <t>Luke Weiss</t>
  </si>
  <si>
    <t>TEC-AC-10001767</t>
  </si>
  <si>
    <t>SanDisk Ultra 64 GB MicroSDHC Class 10 Memory Card</t>
  </si>
  <si>
    <t>2012</t>
  </si>
  <si>
    <t>CA-2017-155761</t>
  </si>
  <si>
    <t>SC-20800</t>
  </si>
  <si>
    <t>Stuart Calhoun</t>
  </si>
  <si>
    <t>TEC-AC-10001606</t>
  </si>
  <si>
    <t>Logitech Wireless Performance Mouse MX for PC and Mac</t>
  </si>
  <si>
    <t>2014</t>
  </si>
  <si>
    <t>CA-2018-145905</t>
  </si>
  <si>
    <t>AM-10705</t>
  </si>
  <si>
    <t>Anne McFarland</t>
  </si>
  <si>
    <t>36830</t>
  </si>
  <si>
    <t>FUR-CH-10001854</t>
  </si>
  <si>
    <t>Office Star - Professional Matrix Back Chair with 2-to-1 Synchro Tilt and Mesh Fabric Seat</t>
  </si>
  <si>
    <t>2021</t>
  </si>
  <si>
    <t>CA-2018-168354</t>
  </si>
  <si>
    <t>RH-19510</t>
  </si>
  <si>
    <t>Rick Huthwaite</t>
  </si>
  <si>
    <t>2035</t>
  </si>
  <si>
    <t>CA-2019-162481</t>
  </si>
  <si>
    <t>CT-11995</t>
  </si>
  <si>
    <t>Carol Triggs</t>
  </si>
  <si>
    <t>OFF-BI-10002976</t>
  </si>
  <si>
    <t>ACCOHIDE Binder by Acco</t>
  </si>
  <si>
    <t>2046</t>
  </si>
  <si>
    <t>CA-2018-131835</t>
  </si>
  <si>
    <t>MC-17590</t>
  </si>
  <si>
    <t>Matt Collister</t>
  </si>
  <si>
    <t>Perth Amboy</t>
  </si>
  <si>
    <t>8861</t>
  </si>
  <si>
    <t>2071</t>
  </si>
  <si>
    <t>CA-2018-146521</t>
  </si>
  <si>
    <t>CC-12610</t>
  </si>
  <si>
    <t>Corey Catlett</t>
  </si>
  <si>
    <t>OFF-BI-10000301</t>
  </si>
  <si>
    <t>GBC Instant Report Kit</t>
  </si>
  <si>
    <t>2072</t>
  </si>
  <si>
    <t>US-2019-110996</t>
  </si>
  <si>
    <t>KA-16525</t>
  </si>
  <si>
    <t>Kelly Andreada</t>
  </si>
  <si>
    <t>Ontario</t>
  </si>
  <si>
    <t>91761</t>
  </si>
  <si>
    <t>2073</t>
  </si>
  <si>
    <t>CA-2018-129693</t>
  </si>
  <si>
    <t>TC-20980</t>
  </si>
  <si>
    <t>Tamara Chand</t>
  </si>
  <si>
    <t>OFF-BI-10002954</t>
  </si>
  <si>
    <t>Newell 3-Hole Punched Plastic Slotted Magazine Holders for Binders</t>
  </si>
  <si>
    <t>2077</t>
  </si>
  <si>
    <t>CA-2019-140676</t>
  </si>
  <si>
    <t>BF-11080</t>
  </si>
  <si>
    <t>Bart Folk</t>
  </si>
  <si>
    <t>Baltimore</t>
  </si>
  <si>
    <t>21215</t>
  </si>
  <si>
    <t>OFF-PA-10004082</t>
  </si>
  <si>
    <t>Adams Telephone Message Book w/Frequently-Called Numbers Space, 400 Messages per Book</t>
  </si>
  <si>
    <t>2091</t>
  </si>
  <si>
    <t>CA-2019-166142</t>
  </si>
  <si>
    <t>MM-17260</t>
  </si>
  <si>
    <t>Magdelene Morse</t>
  </si>
  <si>
    <t>OFF-BI-10004094</t>
  </si>
  <si>
    <t>GBC Standard Plastic Binding Systems Combs</t>
  </si>
  <si>
    <t>2103</t>
  </si>
  <si>
    <t>CA-2016-123295</t>
  </si>
  <si>
    <t>AH-10120</t>
  </si>
  <si>
    <t>Adrian Hane</t>
  </si>
  <si>
    <t>FUR-CH-10002372</t>
  </si>
  <si>
    <t>Office Star - Ergonomically Designed Knee Chair</t>
  </si>
  <si>
    <t>2106</t>
  </si>
  <si>
    <t>US-2016-167633</t>
  </si>
  <si>
    <t>BW-11200</t>
  </si>
  <si>
    <t>Ben Wallace</t>
  </si>
  <si>
    <t>Boynton Beach</t>
  </si>
  <si>
    <t>33437</t>
  </si>
  <si>
    <t>OFF-PA-10004888</t>
  </si>
  <si>
    <t>Xerox 217</t>
  </si>
  <si>
    <t>2118</t>
  </si>
  <si>
    <t>CA-2018-130267</t>
  </si>
  <si>
    <t>SW-20245</t>
  </si>
  <si>
    <t>Scot Wooten</t>
  </si>
  <si>
    <t>Stockton</t>
  </si>
  <si>
    <t>95207</t>
  </si>
  <si>
    <t>OFF-PA-10002222</t>
  </si>
  <si>
    <t>Xerox Color Copier Paper, 11" x 17", Ream</t>
  </si>
  <si>
    <t>2127</t>
  </si>
  <si>
    <t>CA-2016-126032</t>
  </si>
  <si>
    <t>BS-11665</t>
  </si>
  <si>
    <t>Brian Stugart</t>
  </si>
  <si>
    <t>2130</t>
  </si>
  <si>
    <t>US-2016-114188</t>
  </si>
  <si>
    <t>RF-19345</t>
  </si>
  <si>
    <t>Randy Ferguson</t>
  </si>
  <si>
    <t>New Hampshire</t>
  </si>
  <si>
    <t>3820</t>
  </si>
  <si>
    <t>OFF-AP-10000124</t>
  </si>
  <si>
    <t>Acco 6 Outlet Guardian Basic Surge Suppressor</t>
  </si>
  <si>
    <t>2134</t>
  </si>
  <si>
    <t>CA-2017-122210</t>
  </si>
  <si>
    <t>WB-21850</t>
  </si>
  <si>
    <t>William Brown</t>
  </si>
  <si>
    <t>2137</t>
  </si>
  <si>
    <t>CA-2017-156377</t>
  </si>
  <si>
    <t>TB-21625</t>
  </si>
  <si>
    <t>Trudy Brown</t>
  </si>
  <si>
    <t>FUR-FU-10002364</t>
  </si>
  <si>
    <t>Eldon Expressions Wood Desk Accessories, Oak</t>
  </si>
  <si>
    <t>2151</t>
  </si>
  <si>
    <t>US-2019-139969</t>
  </si>
  <si>
    <t>AF-10870</t>
  </si>
  <si>
    <t>Art Ferguson</t>
  </si>
  <si>
    <t>College Station</t>
  </si>
  <si>
    <t>77840</t>
  </si>
  <si>
    <t>FUR-CH-10001973</t>
  </si>
  <si>
    <t>Office Star Flex Back Scooter Chair with White Frame</t>
  </si>
  <si>
    <t>2152</t>
  </si>
  <si>
    <t>CA-2016-167360</t>
  </si>
  <si>
    <t>RB-19435</t>
  </si>
  <si>
    <t>Richard Bierner</t>
  </si>
  <si>
    <t>Saint Louis</t>
  </si>
  <si>
    <t>63116</t>
  </si>
  <si>
    <t>TEC-AC-10001772</t>
  </si>
  <si>
    <t>Memorex Mini Travel Drive 16 GB USB 2.0 Flash Drive</t>
  </si>
  <si>
    <t>2163</t>
  </si>
  <si>
    <t>CA-2019-166296</t>
  </si>
  <si>
    <t>KF-16285</t>
  </si>
  <si>
    <t>Karen Ferguson</t>
  </si>
  <si>
    <t>Manteca</t>
  </si>
  <si>
    <t>95336</t>
  </si>
  <si>
    <t>OFF-PA-10004359</t>
  </si>
  <si>
    <t>Multicolor Computer Printout Paper</t>
  </si>
  <si>
    <t>2169</t>
  </si>
  <si>
    <t>CA-2019-117870</t>
  </si>
  <si>
    <t>JH-15820</t>
  </si>
  <si>
    <t>John Huston</t>
  </si>
  <si>
    <t>44240</t>
  </si>
  <si>
    <t>2173</t>
  </si>
  <si>
    <t>CA-2016-152296</t>
  </si>
  <si>
    <t>IL-15100</t>
  </si>
  <si>
    <t>Ivan Liston</t>
  </si>
  <si>
    <t>OFF-BI-10004506</t>
  </si>
  <si>
    <t>Wilson Jones data.warehouse D-Ring Binders with DublLock</t>
  </si>
  <si>
    <t>2176</t>
  </si>
  <si>
    <t>CA-2018-125738</t>
  </si>
  <si>
    <t>PB-18805</t>
  </si>
  <si>
    <t>Patrick Bzostek</t>
  </si>
  <si>
    <t>Salt Lake City</t>
  </si>
  <si>
    <t>84106</t>
  </si>
  <si>
    <t>OFF-PA-10000740</t>
  </si>
  <si>
    <t>Xerox 1982</t>
  </si>
  <si>
    <t>2187</t>
  </si>
  <si>
    <t>CA-2018-101378</t>
  </si>
  <si>
    <t>RH-19600</t>
  </si>
  <si>
    <t>Rob Haberlin</t>
  </si>
  <si>
    <t>35810</t>
  </si>
  <si>
    <t>TEC-AC-10002345</t>
  </si>
  <si>
    <t>HP Standard 104 key PS/2 Keyboard</t>
  </si>
  <si>
    <t>2207</t>
  </si>
  <si>
    <t>US-2016-103905</t>
  </si>
  <si>
    <t>AW-10930</t>
  </si>
  <si>
    <t>Arthur Wiediger</t>
  </si>
  <si>
    <t>2210</t>
  </si>
  <si>
    <t>CA-2016-125556</t>
  </si>
  <si>
    <t>ML-17410</t>
  </si>
  <si>
    <t>Maris LaWare</t>
  </si>
  <si>
    <t>TEC-PH-10001079</t>
  </si>
  <si>
    <t>Polycom SoundPoint Pro SE-225 Corded phone</t>
  </si>
  <si>
    <t>2218</t>
  </si>
  <si>
    <t>CA-2016-151953</t>
  </si>
  <si>
    <t>DB-13555</t>
  </si>
  <si>
    <t>Dorothy Badders</t>
  </si>
  <si>
    <t>OFF-AR-10003469</t>
  </si>
  <si>
    <t>Nontoxic Chalk</t>
  </si>
  <si>
    <t>2219</t>
  </si>
  <si>
    <t>CA-2019-130841</t>
  </si>
  <si>
    <t>MH-17620</t>
  </si>
  <si>
    <t>Matt Hagelstein</t>
  </si>
  <si>
    <t>2222</t>
  </si>
  <si>
    <t>CA-2017-131884</t>
  </si>
  <si>
    <t>DK-13375</t>
  </si>
  <si>
    <t>Dennis Kane</t>
  </si>
  <si>
    <t>Marion</t>
  </si>
  <si>
    <t>43302</t>
  </si>
  <si>
    <t>TEC-PH-10001578</t>
  </si>
  <si>
    <t>Polycom SoundStation2 EX Conference phone</t>
  </si>
  <si>
    <t>2226</t>
  </si>
  <si>
    <t>CA-2018-106383</t>
  </si>
  <si>
    <t>BT-11440</t>
  </si>
  <si>
    <t>Bobby Trafton</t>
  </si>
  <si>
    <t>Littleton</t>
  </si>
  <si>
    <t>80122</t>
  </si>
  <si>
    <t>FUR-BO-10002202</t>
  </si>
  <si>
    <t>Atlantic Metals Mobile 2-Shelf Bookcases, Custom Colors</t>
  </si>
  <si>
    <t>2232</t>
  </si>
  <si>
    <t>CA-2019-157091</t>
  </si>
  <si>
    <t>DB-13405</t>
  </si>
  <si>
    <t>Denny Blanton</t>
  </si>
  <si>
    <t>2240</t>
  </si>
  <si>
    <t>CA-2018-146633</t>
  </si>
  <si>
    <t>TG-21310</t>
  </si>
  <si>
    <t>Toby Gnade</t>
  </si>
  <si>
    <t>OFF-BI-10003527</t>
  </si>
  <si>
    <t>Fellowes PB500 Electric Punch Plastic Comb Binding Machine with Manual Bind</t>
  </si>
  <si>
    <t>2243</t>
  </si>
  <si>
    <t>CA-2019-103380</t>
  </si>
  <si>
    <t>BF-11005</t>
  </si>
  <si>
    <t>Barry Franz</t>
  </si>
  <si>
    <t>2248</t>
  </si>
  <si>
    <t>CA-2017-116092</t>
  </si>
  <si>
    <t>JM-16195</t>
  </si>
  <si>
    <t>Justin MacKendrick</t>
  </si>
  <si>
    <t>OFF-PA-10004285</t>
  </si>
  <si>
    <t>Xerox 1959</t>
  </si>
  <si>
    <t>2260</t>
  </si>
  <si>
    <t>CA-2017-117611</t>
  </si>
  <si>
    <t>MZ-17335</t>
  </si>
  <si>
    <t>Maria Zettner</t>
  </si>
  <si>
    <t>OFF-FA-10002280</t>
  </si>
  <si>
    <t>Advantus Plastic Paper Clips</t>
  </si>
  <si>
    <t>2262</t>
  </si>
  <si>
    <t>US-2017-137960</t>
  </si>
  <si>
    <t>MW-18220</t>
  </si>
  <si>
    <t>Mitch Webber</t>
  </si>
  <si>
    <t>2263</t>
  </si>
  <si>
    <t>CA-2019-122994</t>
  </si>
  <si>
    <t>MV-17485</t>
  </si>
  <si>
    <t>Mark Van Huff</t>
  </si>
  <si>
    <t>2267</t>
  </si>
  <si>
    <t>CA-2019-149146</t>
  </si>
  <si>
    <t>SM-20320</t>
  </si>
  <si>
    <t>Sean Miller</t>
  </si>
  <si>
    <t>28110</t>
  </si>
  <si>
    <t>OFF-PA-10003919</t>
  </si>
  <si>
    <t>Xerox 1989</t>
  </si>
  <si>
    <t>2268</t>
  </si>
  <si>
    <t>CA-2019-137470</t>
  </si>
  <si>
    <t>TP-21415</t>
  </si>
  <si>
    <t>Tom Prescott</t>
  </si>
  <si>
    <t>OFF-PA-10002001</t>
  </si>
  <si>
    <t>Xerox 1984</t>
  </si>
  <si>
    <t>2280</t>
  </si>
  <si>
    <t>CA-2019-142622</t>
  </si>
  <si>
    <t>JK-15625</t>
  </si>
  <si>
    <t>Jim Karlsson</t>
  </si>
  <si>
    <t>FUR-CH-10003833</t>
  </si>
  <si>
    <t>Novimex Fabric Task Chair</t>
  </si>
  <si>
    <t>2286</t>
  </si>
  <si>
    <t>CA-2018-112676</t>
  </si>
  <si>
    <t>PJ-18835</t>
  </si>
  <si>
    <t>Patrick Jones</t>
  </si>
  <si>
    <t>OFF-PA-10003971</t>
  </si>
  <si>
    <t>Xerox 1965</t>
  </si>
  <si>
    <t>2290</t>
  </si>
  <si>
    <t>CA-2019-115154</t>
  </si>
  <si>
    <t>RS-19420</t>
  </si>
  <si>
    <t>Ricardo Sperren</t>
  </si>
  <si>
    <t>FUR-TA-10001950</t>
  </si>
  <si>
    <t>Balt Solid Wood Round Tables</t>
  </si>
  <si>
    <t>2308</t>
  </si>
  <si>
    <t>CA-2019-116225</t>
  </si>
  <si>
    <t>SV-20935</t>
  </si>
  <si>
    <t>Susan Vittorini</t>
  </si>
  <si>
    <t>2309</t>
  </si>
  <si>
    <t>US-2019-120418</t>
  </si>
  <si>
    <t>BC-11125</t>
  </si>
  <si>
    <t>Becky Castell</t>
  </si>
  <si>
    <t>85345</t>
  </si>
  <si>
    <t>FUR-CH-10001394</t>
  </si>
  <si>
    <t>Global Leather Executive Chair</t>
  </si>
  <si>
    <t>2314</t>
  </si>
  <si>
    <t>CA-2019-122035</t>
  </si>
  <si>
    <t>EM-13825</t>
  </si>
  <si>
    <t>Elizabeth Moffitt</t>
  </si>
  <si>
    <t>Sioux Falls</t>
  </si>
  <si>
    <t>South Dakota</t>
  </si>
  <si>
    <t>57103</t>
  </si>
  <si>
    <t>OFF-LA-10004093</t>
  </si>
  <si>
    <t>Avery 486</t>
  </si>
  <si>
    <t>2326</t>
  </si>
  <si>
    <t>CA-2017-105102</t>
  </si>
  <si>
    <t>BM-11575</t>
  </si>
  <si>
    <t>Brendan Murry</t>
  </si>
  <si>
    <t>2329</t>
  </si>
  <si>
    <t>CA-2019-138422</t>
  </si>
  <si>
    <t>KN-16705</t>
  </si>
  <si>
    <t>Kristina Nunn</t>
  </si>
  <si>
    <t>Fort Collins</t>
  </si>
  <si>
    <t>80525</t>
  </si>
  <si>
    <t>OFF-EN-10004147</t>
  </si>
  <si>
    <t>Wausau Papers Astrobrights Colored Envelopes</t>
  </si>
  <si>
    <t>2335</t>
  </si>
  <si>
    <t>CA-2016-140886</t>
  </si>
  <si>
    <t>KW-16570</t>
  </si>
  <si>
    <t>Kelly Williams</t>
  </si>
  <si>
    <t>Clarksville</t>
  </si>
  <si>
    <t>37042</t>
  </si>
  <si>
    <t>2354</t>
  </si>
  <si>
    <t>CA-2017-111514</t>
  </si>
  <si>
    <t>SC-20260</t>
  </si>
  <si>
    <t>Scott Cohen</t>
  </si>
  <si>
    <t>FUR-BO-10002545</t>
  </si>
  <si>
    <t>Atlantic Metals Mobile 3-Shelf Bookcases, Custom Colors</t>
  </si>
  <si>
    <t>2383</t>
  </si>
  <si>
    <t>US-2019-117534</t>
  </si>
  <si>
    <t>CV-12295</t>
  </si>
  <si>
    <t>Christina VanderZanden</t>
  </si>
  <si>
    <t>OFF-AP-10002403</t>
  </si>
  <si>
    <t>Acco Smartsocket Color-Coded Six-Outlet AC Adapter Model Surge Protectors</t>
  </si>
  <si>
    <t>2390</t>
  </si>
  <si>
    <t>US-2017-127040</t>
  </si>
  <si>
    <t>SG-20605</t>
  </si>
  <si>
    <t>Speros Goranitis</t>
  </si>
  <si>
    <t>OFF-PA-10004255</t>
  </si>
  <si>
    <t>Xerox 219</t>
  </si>
  <si>
    <t>2408</t>
  </si>
  <si>
    <t>CA-2019-144589</t>
  </si>
  <si>
    <t>TM-21010</t>
  </si>
  <si>
    <t>Tamara Manning</t>
  </si>
  <si>
    <t>OFF-AR-10003631</t>
  </si>
  <si>
    <t>Staples in misc. colors</t>
  </si>
  <si>
    <t>2412</t>
  </si>
  <si>
    <t>CA-2017-142041</t>
  </si>
  <si>
    <t>EM-13810</t>
  </si>
  <si>
    <t>Eleni McCrary</t>
  </si>
  <si>
    <t>OFF-BI-10004187</t>
  </si>
  <si>
    <t>3-ring staple pack</t>
  </si>
  <si>
    <t>2417</t>
  </si>
  <si>
    <t>CA-2019-168655</t>
  </si>
  <si>
    <t>ML-18040</t>
  </si>
  <si>
    <t>Michelle Lonsdale</t>
  </si>
  <si>
    <t>Albuquerque</t>
  </si>
  <si>
    <t>87105</t>
  </si>
  <si>
    <t>TEC-AC-10002842</t>
  </si>
  <si>
    <t>WD My Passport Ultra 2TB Portable External Hard Drive</t>
  </si>
  <si>
    <t>2422</t>
  </si>
  <si>
    <t>CA-2018-155551</t>
  </si>
  <si>
    <t>CR-12580</t>
  </si>
  <si>
    <t>Clay Rozendal</t>
  </si>
  <si>
    <t>Elmhurst</t>
  </si>
  <si>
    <t>60126</t>
  </si>
  <si>
    <t>2433</t>
  </si>
  <si>
    <t>CA-2016-148586</t>
  </si>
  <si>
    <t>AZ-10750</t>
  </si>
  <si>
    <t>Annie Zypern</t>
  </si>
  <si>
    <t>FUR-CH-10002439</t>
  </si>
  <si>
    <t>Iceberg Nesting Folding Chair, 19w x 6d x 43h</t>
  </si>
  <si>
    <t>2438</t>
  </si>
  <si>
    <t>CA-2016-164210</t>
  </si>
  <si>
    <t>PW-19240</t>
  </si>
  <si>
    <t>Pierre Wener</t>
  </si>
  <si>
    <t>FUR-TA-10000849</t>
  </si>
  <si>
    <t>Bevis Rectangular Conference Tables</t>
  </si>
  <si>
    <t>2461</t>
  </si>
  <si>
    <t>CA-2017-142419</t>
  </si>
  <si>
    <t>SC-20380</t>
  </si>
  <si>
    <t>Shahid Collister</t>
  </si>
  <si>
    <t>OFF-PA-10001763</t>
  </si>
  <si>
    <t>Xerox 1896</t>
  </si>
  <si>
    <t>2471</t>
  </si>
  <si>
    <t>US-2018-135923</t>
  </si>
  <si>
    <t>CM-11935</t>
  </si>
  <si>
    <t>Carlos Meador</t>
  </si>
  <si>
    <t>28314</t>
  </si>
  <si>
    <t>FUR-FU-10002107</t>
  </si>
  <si>
    <t>Eldon Pizzaz Desk Accessories</t>
  </si>
  <si>
    <t>2478</t>
  </si>
  <si>
    <t>CA-2019-102750</t>
  </si>
  <si>
    <t>GM-14695</t>
  </si>
  <si>
    <t>Greg Maxwell</t>
  </si>
  <si>
    <t>FUR-TA-10000198</t>
  </si>
  <si>
    <t>Chromcraft Bull-Nose Wood Oval Conference Tables &amp; Bases</t>
  </si>
  <si>
    <t>2490</t>
  </si>
  <si>
    <t>CA-2017-141040</t>
  </si>
  <si>
    <t>TB-21250</t>
  </si>
  <si>
    <t>Tim Brockman</t>
  </si>
  <si>
    <t>TEC-PH-10001835</t>
  </si>
  <si>
    <t>Jawbone JAMBOX Wireless Bluetooth Speaker</t>
  </si>
  <si>
    <t>2493</t>
  </si>
  <si>
    <t>CA-2016-144624</t>
  </si>
  <si>
    <t>JM-15865</t>
  </si>
  <si>
    <t>John Murray</t>
  </si>
  <si>
    <t>Jamestown</t>
  </si>
  <si>
    <t>14701</t>
  </si>
  <si>
    <t>TEC-PH-10002885</t>
  </si>
  <si>
    <t>Apple iPhone 5</t>
  </si>
  <si>
    <t>2496</t>
  </si>
  <si>
    <t>CA-2016-136644</t>
  </si>
  <si>
    <t>SC-20575</t>
  </si>
  <si>
    <t>Sonia Cooley</t>
  </si>
  <si>
    <t>Mishawaka</t>
  </si>
  <si>
    <t>46544</t>
  </si>
  <si>
    <t>2501</t>
  </si>
  <si>
    <t>CA-2019-131618</t>
  </si>
  <si>
    <t>LS-17200</t>
  </si>
  <si>
    <t>Luke Schmidt</t>
  </si>
  <si>
    <t>2504</t>
  </si>
  <si>
    <t>CA-2018-149482</t>
  </si>
  <si>
    <t>RR-19315</t>
  </si>
  <si>
    <t>Ralph Ritter</t>
  </si>
  <si>
    <t>OFF-LA-10000248</t>
  </si>
  <si>
    <t>Avery 52</t>
  </si>
  <si>
    <t>2513</t>
  </si>
  <si>
    <t>CA-2019-155089</t>
  </si>
  <si>
    <t>DB-12910</t>
  </si>
  <si>
    <t>Daniel Byrd</t>
  </si>
  <si>
    <t>2525</t>
  </si>
  <si>
    <t>CA-2017-124541</t>
  </si>
  <si>
    <t>TT-21220</t>
  </si>
  <si>
    <t>Thomas Thornton</t>
  </si>
  <si>
    <t>2536</t>
  </si>
  <si>
    <t>CA-2017-143238</t>
  </si>
  <si>
    <t>LO-17170</t>
  </si>
  <si>
    <t>Lori Olson</t>
  </si>
  <si>
    <t>La Quinta</t>
  </si>
  <si>
    <t>92253</t>
  </si>
  <si>
    <t>2542</t>
  </si>
  <si>
    <t>CA-2018-144792</t>
  </si>
  <si>
    <t>KD-16615</t>
  </si>
  <si>
    <t>Ken Dana</t>
  </si>
  <si>
    <t>FUR-FU-10002759</t>
  </si>
  <si>
    <t>12-1/2 Diameter Round Wall Clock</t>
  </si>
  <si>
    <t>2543</t>
  </si>
  <si>
    <t>CA-2016-164385</t>
  </si>
  <si>
    <t>NB-18580</t>
  </si>
  <si>
    <t>Nicole Brennan</t>
  </si>
  <si>
    <t>2566</t>
  </si>
  <si>
    <t>CA-2019-109589</t>
  </si>
  <si>
    <t>BD-11635</t>
  </si>
  <si>
    <t>Brian Derr</t>
  </si>
  <si>
    <t>TEC-AC-10003116</t>
  </si>
  <si>
    <t>Memorex Froggy Flash Drive 8 GB</t>
  </si>
  <si>
    <t>2573</t>
  </si>
  <si>
    <t>CA-2018-155845</t>
  </si>
  <si>
    <t>CM-12235</t>
  </si>
  <si>
    <t>Chris McAfee</t>
  </si>
  <si>
    <t>Carrollton</t>
  </si>
  <si>
    <t>75007</t>
  </si>
  <si>
    <t>TEC-AC-10004145</t>
  </si>
  <si>
    <t>Logitech diNovo Edge Keyboard</t>
  </si>
  <si>
    <t>2602</t>
  </si>
  <si>
    <t>CA-2018-165848</t>
  </si>
  <si>
    <t>EN-13780</t>
  </si>
  <si>
    <t>Edward Nazzal</t>
  </si>
  <si>
    <t>2606</t>
  </si>
  <si>
    <t>CA-2016-112718</t>
  </si>
  <si>
    <t>KN-16450</t>
  </si>
  <si>
    <t>Kean Nguyen</t>
  </si>
  <si>
    <t>OFF-BI-10000591</t>
  </si>
  <si>
    <t>Avery Binder Labels</t>
  </si>
  <si>
    <t>2614</t>
  </si>
  <si>
    <t>CA-2018-137204</t>
  </si>
  <si>
    <t>BO-11350</t>
  </si>
  <si>
    <t>Bill Overfelt</t>
  </si>
  <si>
    <t>FUR-CH-10002304</t>
  </si>
  <si>
    <t>Global Stack Chair without Arms, Black</t>
  </si>
  <si>
    <t>2615</t>
  </si>
  <si>
    <t>CA-2016-147298</t>
  </si>
  <si>
    <t>AG-10300</t>
  </si>
  <si>
    <t>Aleksandra Gannaway</t>
  </si>
  <si>
    <t>2623</t>
  </si>
  <si>
    <t>CA-2016-164861</t>
  </si>
  <si>
    <t>MC-17635</t>
  </si>
  <si>
    <t>Matthew Clasen</t>
  </si>
  <si>
    <t>OFF-PA-10001972</t>
  </si>
  <si>
    <t>Xerox 214</t>
  </si>
  <si>
    <t>2624</t>
  </si>
  <si>
    <t>CA-2019-127180</t>
  </si>
  <si>
    <t>TA-21385</t>
  </si>
  <si>
    <t>Tom Ashbrook</t>
  </si>
  <si>
    <t>TEC-CO-10004722</t>
  </si>
  <si>
    <t>Canon imageCLASS 2200 Advanced Copier</t>
  </si>
  <si>
    <t>2632</t>
  </si>
  <si>
    <t>US-2019-110604</t>
  </si>
  <si>
    <t>JF-15295</t>
  </si>
  <si>
    <t>Jason Fortune-</t>
  </si>
  <si>
    <t>FUR-FU-10000076</t>
  </si>
  <si>
    <t>24-Hour Round Wall Clock</t>
  </si>
  <si>
    <t>2637</t>
  </si>
  <si>
    <t>CA-2017-162369</t>
  </si>
  <si>
    <t>TT-21265</t>
  </si>
  <si>
    <t>Tim Taslimi</t>
  </si>
  <si>
    <t>2638</t>
  </si>
  <si>
    <t>CA-2019-108441</t>
  </si>
  <si>
    <t>SB-20170</t>
  </si>
  <si>
    <t>Sarah Bern</t>
  </si>
  <si>
    <t>OFF-PA-10000697</t>
  </si>
  <si>
    <t>TOPS Voice Message Log Book, Flash Format</t>
  </si>
  <si>
    <t>2663</t>
  </si>
  <si>
    <t>CA-2019-159604</t>
  </si>
  <si>
    <t>CL-12700</t>
  </si>
  <si>
    <t>Craig Leslie</t>
  </si>
  <si>
    <t>65807</t>
  </si>
  <si>
    <t>OFF-BI-10003460</t>
  </si>
  <si>
    <t>Acco 3-Hole Punch</t>
  </si>
  <si>
    <t>2667</t>
  </si>
  <si>
    <t>CA-2018-111794</t>
  </si>
  <si>
    <t>HG-15025</t>
  </si>
  <si>
    <t>Hunter Glantz</t>
  </si>
  <si>
    <t>Amarillo</t>
  </si>
  <si>
    <t>79109</t>
  </si>
  <si>
    <t>2669</t>
  </si>
  <si>
    <t>US-2017-139759</t>
  </si>
  <si>
    <t>NL-18310</t>
  </si>
  <si>
    <t>Nancy Lomonaco</t>
  </si>
  <si>
    <t>2671</t>
  </si>
  <si>
    <t>CA-2016-126403</t>
  </si>
  <si>
    <t>RR-19525</t>
  </si>
  <si>
    <t>Rick Reed</t>
  </si>
  <si>
    <t>OFF-PA-10001144</t>
  </si>
  <si>
    <t>Xerox 1913</t>
  </si>
  <si>
    <t>2675</t>
  </si>
  <si>
    <t>CA-2019-136875</t>
  </si>
  <si>
    <t>TC-21295</t>
  </si>
  <si>
    <t>Toby Carlisle</t>
  </si>
  <si>
    <t>OFF-PA-10000357</t>
  </si>
  <si>
    <t>Xerox 1888</t>
  </si>
  <si>
    <t>2678</t>
  </si>
  <si>
    <t>US-2016-160780</t>
  </si>
  <si>
    <t>SV-20785</t>
  </si>
  <si>
    <t>Stewart Visinsky</t>
  </si>
  <si>
    <t>OFF-BI-10001116</t>
  </si>
  <si>
    <t>Wilson Jones 1" Hanging DublLock Ring Binders</t>
  </si>
  <si>
    <t>2696</t>
  </si>
  <si>
    <t>CA-2018-161662</t>
  </si>
  <si>
    <t>BE-11410</t>
  </si>
  <si>
    <t>Bobby Elias</t>
  </si>
  <si>
    <t>43130</t>
  </si>
  <si>
    <t>OFF-PA-10003465</t>
  </si>
  <si>
    <t>Xerox 1912</t>
  </si>
  <si>
    <t>2717</t>
  </si>
  <si>
    <t>CA-2019-128475</t>
  </si>
  <si>
    <t>SC-20680</t>
  </si>
  <si>
    <t>Steve Carroll</t>
  </si>
  <si>
    <t>2724</t>
  </si>
  <si>
    <t>CA-2016-153479</t>
  </si>
  <si>
    <t>DF-13135</t>
  </si>
  <si>
    <t>David Flashing</t>
  </si>
  <si>
    <t>Vallejo</t>
  </si>
  <si>
    <t>94591</t>
  </si>
  <si>
    <t>OFF-LA-10004689</t>
  </si>
  <si>
    <t>Avery 512</t>
  </si>
  <si>
    <t>2730</t>
  </si>
  <si>
    <t>CA-2019-104801</t>
  </si>
  <si>
    <t>FH-14350</t>
  </si>
  <si>
    <t>Fred Harton</t>
  </si>
  <si>
    <t>2743</t>
  </si>
  <si>
    <t>CA-2016-149244</t>
  </si>
  <si>
    <t>MS-17530</t>
  </si>
  <si>
    <t>MaryBeth Skach</t>
  </si>
  <si>
    <t>FUR-FU-10004671</t>
  </si>
  <si>
    <t>Executive Impressions 12" Wall Clock</t>
  </si>
  <si>
    <t>2749</t>
  </si>
  <si>
    <t>CA-2017-110247</t>
  </si>
  <si>
    <t>RH-19555</t>
  </si>
  <si>
    <t>Ritsa Hightower</t>
  </si>
  <si>
    <t>Tallahassee</t>
  </si>
  <si>
    <t>32303</t>
  </si>
  <si>
    <t>OFF-BI-10001553</t>
  </si>
  <si>
    <t>SpineVue Locking Slant-D Ring Binders by Cardinal</t>
  </si>
  <si>
    <t>2753</t>
  </si>
  <si>
    <t>CA-2017-155306</t>
  </si>
  <si>
    <t>GA-14515</t>
  </si>
  <si>
    <t>George Ashbrook</t>
  </si>
  <si>
    <t>OFF-AR-10003251</t>
  </si>
  <si>
    <t>Prang Drawing Pencil Set</t>
  </si>
  <si>
    <t>2759</t>
  </si>
  <si>
    <t>CA-2018-146171</t>
  </si>
  <si>
    <t>JP-16135</t>
  </si>
  <si>
    <t>Julie Prescott</t>
  </si>
  <si>
    <t>FUR-FU-10004270</t>
  </si>
  <si>
    <t>Executive Impressions 13" Clairmont Wall Clock</t>
  </si>
  <si>
    <t>2761</t>
  </si>
  <si>
    <t>CA-2016-129574</t>
  </si>
  <si>
    <t>Dp-13240</t>
  </si>
  <si>
    <t>Dean percer</t>
  </si>
  <si>
    <t>84107</t>
  </si>
  <si>
    <t>OFF-PA-10002893</t>
  </si>
  <si>
    <t>Wirebound Service Call Books, 5 1/2" x 4"</t>
  </si>
  <si>
    <t>2769</t>
  </si>
  <si>
    <t>US-2017-122140</t>
  </si>
  <si>
    <t>MO-17950</t>
  </si>
  <si>
    <t>Michael Oakman</t>
  </si>
  <si>
    <t>OFF-AP-10001242</t>
  </si>
  <si>
    <t>APC 7 Outlet Network SurgeArrest Surge Protector</t>
  </si>
  <si>
    <t>2803</t>
  </si>
  <si>
    <t>CA-2019-143329</t>
  </si>
  <si>
    <t>DL-13330</t>
  </si>
  <si>
    <t>Denise Leinenbach</t>
  </si>
  <si>
    <t>Las Cruces</t>
  </si>
  <si>
    <t>88001</t>
  </si>
  <si>
    <t>2807</t>
  </si>
  <si>
    <t>CA-2017-148635</t>
  </si>
  <si>
    <t>MH-18025</t>
  </si>
  <si>
    <t>Michelle Huthwaite</t>
  </si>
  <si>
    <t>OFF-FA-10004395</t>
  </si>
  <si>
    <t>Plymouth Boxed Rubber Bands by Plymouth</t>
  </si>
  <si>
    <t>2816</t>
  </si>
  <si>
    <t>CA-2017-104626</t>
  </si>
  <si>
    <t>DR-12940</t>
  </si>
  <si>
    <t>Daniel Raglin</t>
  </si>
  <si>
    <t>2820</t>
  </si>
  <si>
    <t>CA-2018-160500</t>
  </si>
  <si>
    <t>DM-13015</t>
  </si>
  <si>
    <t>Darrin Martin</t>
  </si>
  <si>
    <t>Encinitas</t>
  </si>
  <si>
    <t>OFF-BI-10003784</t>
  </si>
  <si>
    <t>Computer Printout Index Tabs</t>
  </si>
  <si>
    <t>2834</t>
  </si>
  <si>
    <t>CA-2019-134649</t>
  </si>
  <si>
    <t>CA-11965</t>
  </si>
  <si>
    <t>Carol Adams</t>
  </si>
  <si>
    <t>Hoover</t>
  </si>
  <si>
    <t>35244</t>
  </si>
  <si>
    <t>2843</t>
  </si>
  <si>
    <t>CA-2019-135650</t>
  </si>
  <si>
    <t>AC-10660</t>
  </si>
  <si>
    <t>Anna Chung</t>
  </si>
  <si>
    <t>2848</t>
  </si>
  <si>
    <t>CA-2019-157854</t>
  </si>
  <si>
    <t>DM-13345</t>
  </si>
  <si>
    <t>Denise Monton</t>
  </si>
  <si>
    <t>FUR-FU-10003832</t>
  </si>
  <si>
    <t>Eldon Expressions Punched Metal &amp; Wood Desk Accessories, Black &amp; Cherry</t>
  </si>
  <si>
    <t>2852</t>
  </si>
  <si>
    <t>CA-2019-107342</t>
  </si>
  <si>
    <t>VF-21715</t>
  </si>
  <si>
    <t>Vicky Freymann</t>
  </si>
  <si>
    <t>2858</t>
  </si>
  <si>
    <t>CA-2018-154690</t>
  </si>
  <si>
    <t>CC-12370</t>
  </si>
  <si>
    <t>Christopher Conant</t>
  </si>
  <si>
    <t>2871</t>
  </si>
  <si>
    <t>CA-2016-148040</t>
  </si>
  <si>
    <t>BF-11275</t>
  </si>
  <si>
    <t>Beth Fritzler</t>
  </si>
  <si>
    <t>OFF-PA-10002581</t>
  </si>
  <si>
    <t>Xerox 1951</t>
  </si>
  <si>
    <t>2891</t>
  </si>
  <si>
    <t>CA-2016-142727</t>
  </si>
  <si>
    <t>HG-14845</t>
  </si>
  <si>
    <t>Harry Greene</t>
  </si>
  <si>
    <t>Lake Charles</t>
  </si>
  <si>
    <t>70601</t>
  </si>
  <si>
    <t>2927</t>
  </si>
  <si>
    <t>CA-2019-128629</t>
  </si>
  <si>
    <t>BP-11155</t>
  </si>
  <si>
    <t>Becky Pak</t>
  </si>
  <si>
    <t>FUR-FU-10000771</t>
  </si>
  <si>
    <t>Eldon 200 Class Desk Accessories, Smoke</t>
  </si>
  <si>
    <t>2950</t>
  </si>
  <si>
    <t>CA-2019-134915</t>
  </si>
  <si>
    <t>EM-14140</t>
  </si>
  <si>
    <t>Eugene Moren</t>
  </si>
  <si>
    <t>Glendale</t>
  </si>
  <si>
    <t>85301</t>
  </si>
  <si>
    <t>2957</t>
  </si>
  <si>
    <t>CA-2019-123638</t>
  </si>
  <si>
    <t>MA-17995</t>
  </si>
  <si>
    <t>Michelle Arnett</t>
  </si>
  <si>
    <t>2963</t>
  </si>
  <si>
    <t>CA-2019-137428</t>
  </si>
  <si>
    <t>AY-10555</t>
  </si>
  <si>
    <t>Andy Yotov</t>
  </si>
  <si>
    <t>2980</t>
  </si>
  <si>
    <t>CA-2017-139850</t>
  </si>
  <si>
    <t>GB-14575</t>
  </si>
  <si>
    <t>Giulietta Baptist</t>
  </si>
  <si>
    <t>OFF-PA-10003848</t>
  </si>
  <si>
    <t>Xerox 1997</t>
  </si>
  <si>
    <t>2986</t>
  </si>
  <si>
    <t>CA-2018-139269</t>
  </si>
  <si>
    <t>JB-16045</t>
  </si>
  <si>
    <t>Julia Barnett</t>
  </si>
  <si>
    <t>FUR-FU-10000755</t>
  </si>
  <si>
    <t>Eldon Expressions Mahogany Wood Desk Collection</t>
  </si>
  <si>
    <t>3005</t>
  </si>
  <si>
    <t>CA-2018-131499</t>
  </si>
  <si>
    <t>MG-17875</t>
  </si>
  <si>
    <t>Michael Grace</t>
  </si>
  <si>
    <t>OFF-AP-10003779</t>
  </si>
  <si>
    <t>Kensington 7 Outlet MasterPiece Power Center with Fax/Phone Line Protection</t>
  </si>
  <si>
    <t>3011</t>
  </si>
  <si>
    <t>CA-2019-134845</t>
  </si>
  <si>
    <t>SR-20425</t>
  </si>
  <si>
    <t>Sharelle Roach</t>
  </si>
  <si>
    <t>3024</t>
  </si>
  <si>
    <t>CA-2019-124674</t>
  </si>
  <si>
    <t>JB-16000</t>
  </si>
  <si>
    <t>Joy Bell-</t>
  </si>
  <si>
    <t>3031</t>
  </si>
  <si>
    <t>CA-2017-168480</t>
  </si>
  <si>
    <t>DM-12955</t>
  </si>
  <si>
    <t>Dario Medina</t>
  </si>
  <si>
    <t>Lincoln Park</t>
  </si>
  <si>
    <t>48146</t>
  </si>
  <si>
    <t>FUR-BO-10000468</t>
  </si>
  <si>
    <t>O'Sullivan 2-Shelf Heavy-Duty Bookcases</t>
  </si>
  <si>
    <t>3049</t>
  </si>
  <si>
    <t>CA-2019-121419</t>
  </si>
  <si>
    <t>TC-21475</t>
  </si>
  <si>
    <t>Tony Chapman</t>
  </si>
  <si>
    <t>3054</t>
  </si>
  <si>
    <t>CA-2018-128517</t>
  </si>
  <si>
    <t>SW-20350</t>
  </si>
  <si>
    <t>Sean Wendt</t>
  </si>
  <si>
    <t>TEC-PH-10002555</t>
  </si>
  <si>
    <t>Nortel Meridian M5316 Digital phone</t>
  </si>
  <si>
    <t>3062</t>
  </si>
  <si>
    <t>CA-2019-127621</t>
  </si>
  <si>
    <t>RE-19450</t>
  </si>
  <si>
    <t>Richard Eichhorn</t>
  </si>
  <si>
    <t>OFF-PA-10001307</t>
  </si>
  <si>
    <t>Important Message Pads, 50 4-1/4 x 5-1/2 Forms per Pad</t>
  </si>
  <si>
    <t>3065</t>
  </si>
  <si>
    <t>CA-2019-106859</t>
  </si>
  <si>
    <t>BF-11215</t>
  </si>
  <si>
    <t>Benjamin Farhat</t>
  </si>
  <si>
    <t>OFF-ST-10000615</t>
  </si>
  <si>
    <t>SimpliFile Personal File, Black Granite, 15w x 6-15/16d x 11-1/4h</t>
  </si>
  <si>
    <t>3080</t>
  </si>
  <si>
    <t>CA-2019-101182</t>
  </si>
  <si>
    <t>KB-16405</t>
  </si>
  <si>
    <t>Katrina Bavinger</t>
  </si>
  <si>
    <t>Apple Valley</t>
  </si>
  <si>
    <t>92307</t>
  </si>
  <si>
    <t>3102</t>
  </si>
  <si>
    <t>CA-2019-119578</t>
  </si>
  <si>
    <t>JG-15310</t>
  </si>
  <si>
    <t>Jason Gross</t>
  </si>
  <si>
    <t>OFF-SU-10003505</t>
  </si>
  <si>
    <t>Premier Electric Letter Opener</t>
  </si>
  <si>
    <t>3105</t>
  </si>
  <si>
    <t>US-2019-140074</t>
  </si>
  <si>
    <t>EC-14050</t>
  </si>
  <si>
    <t>Erin Creighton</t>
  </si>
  <si>
    <t>OFF-PA-10002741</t>
  </si>
  <si>
    <t>Xerox 1980</t>
  </si>
  <si>
    <t>3127</t>
  </si>
  <si>
    <t>CA-2019-149895</t>
  </si>
  <si>
    <t>EB-14110</t>
  </si>
  <si>
    <t>Eugene Barchas</t>
  </si>
  <si>
    <t>TEC-PH-10002200</t>
  </si>
  <si>
    <t>Aastra 6757i CT Wireless VoIP phone</t>
  </si>
  <si>
    <t>3133</t>
  </si>
  <si>
    <t>CA-2016-107916</t>
  </si>
  <si>
    <t>JP-15460</t>
  </si>
  <si>
    <t>Jennifer Patt</t>
  </si>
  <si>
    <t>FUR-FU-10004586</t>
  </si>
  <si>
    <t>G.E. Longer-Life Indoor Recessed Floodlight Bulbs</t>
  </si>
  <si>
    <t>3146</t>
  </si>
  <si>
    <t>CA-2019-131828</t>
  </si>
  <si>
    <t>CS-11845</t>
  </si>
  <si>
    <t>Cari Sayre</t>
  </si>
  <si>
    <t>FUR-CH-10004495</t>
  </si>
  <si>
    <t>Global Leather and Oak Executive Chair, Black</t>
  </si>
  <si>
    <t>3156</t>
  </si>
  <si>
    <t>CA-2016-128986</t>
  </si>
  <si>
    <t>GH-14410</t>
  </si>
  <si>
    <t>Gary Hansen</t>
  </si>
  <si>
    <t>OFF-PA-10001289</t>
  </si>
  <si>
    <t>White Computer Printout Paper by Universal</t>
  </si>
  <si>
    <t>3161</t>
  </si>
  <si>
    <t>US-2016-150924</t>
  </si>
  <si>
    <t>PT-19090</t>
  </si>
  <si>
    <t>Pete Takahito</t>
  </si>
  <si>
    <t>OFF-BI-10004040</t>
  </si>
  <si>
    <t>Wilson Jones Impact Binders</t>
  </si>
  <si>
    <t>3194</t>
  </si>
  <si>
    <t>CA-2016-165428</t>
  </si>
  <si>
    <t>JL-15130</t>
  </si>
  <si>
    <t>Jack Lebron</t>
  </si>
  <si>
    <t>3200</t>
  </si>
  <si>
    <t>CA-2019-164000</t>
  </si>
  <si>
    <t>AH-10030</t>
  </si>
  <si>
    <t>Aaron Hawkins</t>
  </si>
  <si>
    <t>OFF-AR-10003183</t>
  </si>
  <si>
    <t>Avery Fluorescent Highlighter Four-Color Set</t>
  </si>
  <si>
    <t>3237</t>
  </si>
  <si>
    <t>CA-2018-146836</t>
  </si>
  <si>
    <t>CC-12475</t>
  </si>
  <si>
    <t>Cindy Chapman</t>
  </si>
  <si>
    <t>3239</t>
  </si>
  <si>
    <t>US-2018-127971</t>
  </si>
  <si>
    <t>DW-13195</t>
  </si>
  <si>
    <t>David Wiener</t>
  </si>
  <si>
    <t>FUR-CH-10003774</t>
  </si>
  <si>
    <t>Global Wood Trimmed Manager's Task Chair, Khaki</t>
  </si>
  <si>
    <t>3244</t>
  </si>
  <si>
    <t>CA-2019-113355</t>
  </si>
  <si>
    <t>SJ-20215</t>
  </si>
  <si>
    <t>Sarah Jordon</t>
  </si>
  <si>
    <t>TEC-PH-10004912</t>
  </si>
  <si>
    <t>Cisco SPA112 2 Port Phone Adapter</t>
  </si>
  <si>
    <t>3252</t>
  </si>
  <si>
    <t>CA-2019-119389</t>
  </si>
  <si>
    <t>BG-11740</t>
  </si>
  <si>
    <t>Bruce Geld</t>
  </si>
  <si>
    <t>FUR-FU-10001473</t>
  </si>
  <si>
    <t>Eldon Executive Woodline II Desk Accessories, Mahogany</t>
  </si>
  <si>
    <t>3260</t>
  </si>
  <si>
    <t>US-2018-162103</t>
  </si>
  <si>
    <t>LB-16795</t>
  </si>
  <si>
    <t>Laurel Beltran</t>
  </si>
  <si>
    <t>Highland Park</t>
  </si>
  <si>
    <t>60035</t>
  </si>
  <si>
    <t>OFF-BI-10000285</t>
  </si>
  <si>
    <t>XtraLife ClearVue Slant-D Ring Binders by Cardinal</t>
  </si>
  <si>
    <t>3261</t>
  </si>
  <si>
    <t>CA-2016-151554</t>
  </si>
  <si>
    <t>CM-11815</t>
  </si>
  <si>
    <t>Candace McMahon</t>
  </si>
  <si>
    <t>OFF-PA-10004609</t>
  </si>
  <si>
    <t>Xerox 221</t>
  </si>
  <si>
    <t>3268</t>
  </si>
  <si>
    <t>CA-2016-143840</t>
  </si>
  <si>
    <t>EH-14185</t>
  </si>
  <si>
    <t>Evan Henry</t>
  </si>
  <si>
    <t>3320</t>
  </si>
  <si>
    <t>CA-2016-134551</t>
  </si>
  <si>
    <t>TS-21505</t>
  </si>
  <si>
    <t>Tony Sayre</t>
  </si>
  <si>
    <t>OFF-AP-10004868</t>
  </si>
  <si>
    <t>Hoover Commercial Soft Guard Upright Vacuum And Disposable Filtration Bags</t>
  </si>
  <si>
    <t>3335</t>
  </si>
  <si>
    <t>US-2019-109253</t>
  </si>
  <si>
    <t>PR-18880</t>
  </si>
  <si>
    <t>Patrick Ryan</t>
  </si>
  <si>
    <t>3366</t>
  </si>
  <si>
    <t>CA-2016-115161</t>
  </si>
  <si>
    <t>LC-17050</t>
  </si>
  <si>
    <t>Liz Carlisle</t>
  </si>
  <si>
    <t>FUR-BO-10003966</t>
  </si>
  <si>
    <t>Sauder Facets Collection Library, Sky Alder Finish</t>
  </si>
  <si>
    <t>3378</t>
  </si>
  <si>
    <t>CA-2018-100671</t>
  </si>
  <si>
    <t>CS-12490</t>
  </si>
  <si>
    <t>Cindy Schnelling</t>
  </si>
  <si>
    <t>Conroe</t>
  </si>
  <si>
    <t>77301</t>
  </si>
  <si>
    <t>OFF-ST-10004950</t>
  </si>
  <si>
    <t>Tenex Personal Filing Tote With Secure Closure Lid, Black/Frost</t>
  </si>
  <si>
    <t>3399</t>
  </si>
  <si>
    <t>CA-2016-102274</t>
  </si>
  <si>
    <t>DH-13075</t>
  </si>
  <si>
    <t>Dave Hallsten</t>
  </si>
  <si>
    <t>3445</t>
  </si>
  <si>
    <t>CA-2018-116344</t>
  </si>
  <si>
    <t>JO-15145</t>
  </si>
  <si>
    <t>Jack O'Briant</t>
  </si>
  <si>
    <t>3447</t>
  </si>
  <si>
    <t>CA-2018-158869</t>
  </si>
  <si>
    <t>AH-10690</t>
  </si>
  <si>
    <t>Anna Häberlin</t>
  </si>
  <si>
    <t>OFF-PA-10000474</t>
  </si>
  <si>
    <t>3464</t>
  </si>
  <si>
    <t>CA-2018-165470</t>
  </si>
  <si>
    <t>HJ-14875</t>
  </si>
  <si>
    <t>Heather Jas</t>
  </si>
  <si>
    <t>OFF-PA-10004675</t>
  </si>
  <si>
    <t>Telephone Message Books with Fax/Mobile Section, 5 1/2" x 3 3/16"</t>
  </si>
  <si>
    <t>3470</t>
  </si>
  <si>
    <t>CA-2017-100888</t>
  </si>
  <si>
    <t>MH-17455</t>
  </si>
  <si>
    <t>Mark Hamilton</t>
  </si>
  <si>
    <t>3503</t>
  </si>
  <si>
    <t>CA-2019-125115</t>
  </si>
  <si>
    <t>RD-19930</t>
  </si>
  <si>
    <t>Russell D'Ascenzo</t>
  </si>
  <si>
    <t>OFF-PA-10004101</t>
  </si>
  <si>
    <t>Xerox 1894</t>
  </si>
  <si>
    <t>3506</t>
  </si>
  <si>
    <t>CA-2016-166863</t>
  </si>
  <si>
    <t>SC-20020</t>
  </si>
  <si>
    <t>Sam Craven</t>
  </si>
  <si>
    <t>Plano</t>
  </si>
  <si>
    <t>75023</t>
  </si>
  <si>
    <t>TEC-PH-10000369</t>
  </si>
  <si>
    <t>HTC One Mini</t>
  </si>
  <si>
    <t>3526</t>
  </si>
  <si>
    <t>CA-2019-148922</t>
  </si>
  <si>
    <t>SU-20665</t>
  </si>
  <si>
    <t>Stephanie Ulpright</t>
  </si>
  <si>
    <t>TEC-AC-10001838</t>
  </si>
  <si>
    <t>Razer Tiamat Over Ear 7.1 Surround Sound PC Gaming Headset</t>
  </si>
  <si>
    <t>3573</t>
  </si>
  <si>
    <t>US-2019-126081</t>
  </si>
  <si>
    <t>FC-14335</t>
  </si>
  <si>
    <t>Fred Chung</t>
  </si>
  <si>
    <t>Mesquite</t>
  </si>
  <si>
    <t>75150</t>
  </si>
  <si>
    <t>3602</t>
  </si>
  <si>
    <t>CA-2016-159835</t>
  </si>
  <si>
    <t>RB-19330</t>
  </si>
  <si>
    <t>Randy Bradley</t>
  </si>
  <si>
    <t>OFF-PA-10002137</t>
  </si>
  <si>
    <t>Southworth 100% Résumé Paper, 24lb.</t>
  </si>
  <si>
    <t>3612</t>
  </si>
  <si>
    <t>US-2018-131674</t>
  </si>
  <si>
    <t>NC-18535</t>
  </si>
  <si>
    <t>Nick Crebassa</t>
  </si>
  <si>
    <t>TEC-AC-10004864</t>
  </si>
  <si>
    <t>Memorex Micro Travel Drive 32 GB</t>
  </si>
  <si>
    <t>3632</t>
  </si>
  <si>
    <t>CA-2019-132178</t>
  </si>
  <si>
    <t>DB-12970</t>
  </si>
  <si>
    <t>Darren Budd</t>
  </si>
  <si>
    <t>OFF-ST-10000464</t>
  </si>
  <si>
    <t>Multi-Use Personal File Cart and Caster Set, Three Stacking Bins</t>
  </si>
  <si>
    <t>3702</t>
  </si>
  <si>
    <t>CA-2018-126543</t>
  </si>
  <si>
    <t>MF-17665</t>
  </si>
  <si>
    <t>Maureen Fritzler</t>
  </si>
  <si>
    <t>FUR-FU-10002445</t>
  </si>
  <si>
    <t>DAX Two-Tone Rosewood/Black Document Frame, Desktop, 5 x 7</t>
  </si>
  <si>
    <t>3735</t>
  </si>
  <si>
    <t>CA-2019-168193</t>
  </si>
  <si>
    <t>RM-19750</t>
  </si>
  <si>
    <t>Roland Murray</t>
  </si>
  <si>
    <t>OFF-PA-10002254</t>
  </si>
  <si>
    <t>Xerox 1883</t>
  </si>
  <si>
    <t>3737</t>
  </si>
  <si>
    <t>CA-2018-115476</t>
  </si>
  <si>
    <t>VM-21835</t>
  </si>
  <si>
    <t>Vivian Mathis</t>
  </si>
  <si>
    <t>19711</t>
  </si>
  <si>
    <t>TEC-PH-10000673</t>
  </si>
  <si>
    <t>Plantronics Voyager Pro HD - Bluetooth Headset</t>
  </si>
  <si>
    <t>3795</t>
  </si>
  <si>
    <t>US-2016-117163</t>
  </si>
  <si>
    <t>EJ-13720</t>
  </si>
  <si>
    <t>Ed Jacobs</t>
  </si>
  <si>
    <t>OFF-ST-10003692</t>
  </si>
  <si>
    <t>Recycled Steel Personal File for Hanging File Folders</t>
  </si>
  <si>
    <t>3801</t>
  </si>
  <si>
    <t>CA-2018-156503</t>
  </si>
  <si>
    <t>NC-18415</t>
  </si>
  <si>
    <t>Nathan Cano</t>
  </si>
  <si>
    <t>FUR-CH-10003606</t>
  </si>
  <si>
    <t>SAFCO Folding Chair Trolley</t>
  </si>
  <si>
    <t>3832</t>
  </si>
  <si>
    <t>US-2017-111927</t>
  </si>
  <si>
    <t>LS-17230</t>
  </si>
  <si>
    <t>Lycoris Saunders</t>
  </si>
  <si>
    <t>FUR-FU-10004017</t>
  </si>
  <si>
    <t>Executive Impressions 13" Chairman Wall Clock</t>
  </si>
  <si>
    <t>3842</t>
  </si>
  <si>
    <t>US-2016-109162</t>
  </si>
  <si>
    <t>KE-16420</t>
  </si>
  <si>
    <t>Katrina Edelman</t>
  </si>
  <si>
    <t>3852</t>
  </si>
  <si>
    <t>CA-2017-127593</t>
  </si>
  <si>
    <t>DH-13675</t>
  </si>
  <si>
    <t>Duane Huffman</t>
  </si>
  <si>
    <t>FUR-FU-10004006</t>
  </si>
  <si>
    <t>Deflect-o DuraMat Lighweight, Studded, Beveled Mat for Low Pile Carpeting</t>
  </si>
  <si>
    <t>3881</t>
  </si>
  <si>
    <t>CA-2017-129896</t>
  </si>
  <si>
    <t>PF-19120</t>
  </si>
  <si>
    <t>Peter Fuller</t>
  </si>
  <si>
    <t>OFF-PA-10002245</t>
  </si>
  <si>
    <t>Xerox 1895</t>
  </si>
  <si>
    <t>3904</t>
  </si>
  <si>
    <t>CA-2017-167010</t>
  </si>
  <si>
    <t>VT-21700</t>
  </si>
  <si>
    <t>Valerie Takahito</t>
  </si>
  <si>
    <t>OFF-AP-10004036</t>
  </si>
  <si>
    <t>Bionaire 99.97% HEPA Air Cleaner</t>
  </si>
  <si>
    <t>3944</t>
  </si>
  <si>
    <t>US-2018-142685</t>
  </si>
  <si>
    <t>MG-17695</t>
  </si>
  <si>
    <t>Maureen Gnade</t>
  </si>
  <si>
    <t>OFF-SU-10000157</t>
  </si>
  <si>
    <t>Compact Automatic Electric Letter Opener</t>
  </si>
  <si>
    <t>3971</t>
  </si>
  <si>
    <t>CA-2016-135090</t>
  </si>
  <si>
    <t>SP-20920</t>
  </si>
  <si>
    <t>Susan Pistek</t>
  </si>
  <si>
    <t>3989</t>
  </si>
  <si>
    <t>US-2018-159415</t>
  </si>
  <si>
    <t>CS-12175</t>
  </si>
  <si>
    <t>Charles Sheldon</t>
  </si>
  <si>
    <t>FUR-FU-10003798</t>
  </si>
  <si>
    <t>Ultra Door Kickplate, 8"H x 34"W</t>
  </si>
  <si>
    <t>3995</t>
  </si>
  <si>
    <t>CA-2017-105627</t>
  </si>
  <si>
    <t>DK-12895</t>
  </si>
  <si>
    <t>Dana Kaydos</t>
  </si>
  <si>
    <t>FUR-BO-10002916</t>
  </si>
  <si>
    <t>Rush Hierlooms Collection 1" Thick Stackable Bookcases</t>
  </si>
  <si>
    <t>4006</t>
  </si>
  <si>
    <t>US-2017-168732</t>
  </si>
  <si>
    <t>KM-16660</t>
  </si>
  <si>
    <t>Khloe Miller</t>
  </si>
  <si>
    <t>OFF-AR-10003087</t>
  </si>
  <si>
    <t>4021</t>
  </si>
  <si>
    <t>CA-2016-154963</t>
  </si>
  <si>
    <t>AA-10645</t>
  </si>
  <si>
    <t>Anna Andreadi</t>
  </si>
  <si>
    <t>FUR-CH-10004698</t>
  </si>
  <si>
    <t>Padded Folding Chairs, Black, 4/Carton</t>
  </si>
  <si>
    <t>4107</t>
  </si>
  <si>
    <t>US-2018-148334</t>
  </si>
  <si>
    <t>DD-13570</t>
  </si>
  <si>
    <t>Dorothy Dickinson</t>
  </si>
  <si>
    <t>OFF-BI-10003676</t>
  </si>
  <si>
    <t>GBC Standard Recycled Report Covers, Clear Plastic Sheets</t>
  </si>
  <si>
    <t>4161</t>
  </si>
  <si>
    <t>CA-2019-115546</t>
  </si>
  <si>
    <t>AH-10465</t>
  </si>
  <si>
    <t>Amy Hunt</t>
  </si>
  <si>
    <t>TEC-PH-10002834</t>
  </si>
  <si>
    <t>Google Nexus 5</t>
  </si>
  <si>
    <t>4165</t>
  </si>
  <si>
    <t>US-2019-106131</t>
  </si>
  <si>
    <t>TP-21565</t>
  </si>
  <si>
    <t>Tracy Poddar</t>
  </si>
  <si>
    <t>4176</t>
  </si>
  <si>
    <t>CA-2017-154340</t>
  </si>
  <si>
    <t>EK-13795</t>
  </si>
  <si>
    <t>Eileen Kiefer</t>
  </si>
  <si>
    <t>OFF-AR-10003582</t>
  </si>
  <si>
    <t>Boston Electric Pencil Sharpener, Model 1818, Charcoal Black</t>
  </si>
  <si>
    <t>4182</t>
  </si>
  <si>
    <t>US-2019-136868</t>
  </si>
  <si>
    <t>CR-12820</t>
  </si>
  <si>
    <t>Cyra Reiten</t>
  </si>
  <si>
    <t>TEC-AC-10001539</t>
  </si>
  <si>
    <t>Logitech G430 Surround Sound Gaming Headset with Dolby 7.1 Technology</t>
  </si>
  <si>
    <t>4187</t>
  </si>
  <si>
    <t>CA-2019-112536</t>
  </si>
  <si>
    <t>SG-20890</t>
  </si>
  <si>
    <t>Susan Gilcrest</t>
  </si>
  <si>
    <t>Mcallen</t>
  </si>
  <si>
    <t>78501</t>
  </si>
  <si>
    <t>4211</t>
  </si>
  <si>
    <t>CA-2019-109715</t>
  </si>
  <si>
    <t>AH-10585</t>
  </si>
  <si>
    <t>Angele Hood</t>
  </si>
  <si>
    <t>OFF-PA-10004965</t>
  </si>
  <si>
    <t>Xerox 1921</t>
  </si>
  <si>
    <t>4237</t>
  </si>
  <si>
    <t>CA-2018-162404</t>
  </si>
  <si>
    <t>NF-18475</t>
  </si>
  <si>
    <t>Neil Französisch</t>
  </si>
  <si>
    <t>Rockford</t>
  </si>
  <si>
    <t>61107</t>
  </si>
  <si>
    <t>OFF-BI-10000948</t>
  </si>
  <si>
    <t>GBC Laser Imprintable Binding System Covers, Desert Sand</t>
  </si>
  <si>
    <t>4251</t>
  </si>
  <si>
    <t>CA-2016-168130</t>
  </si>
  <si>
    <t>BS-11365</t>
  </si>
  <si>
    <t>Bill Shonely</t>
  </si>
  <si>
    <t>4271</t>
  </si>
  <si>
    <t>CA-2017-166975</t>
  </si>
  <si>
    <t>SH-20635</t>
  </si>
  <si>
    <t>Stefanie Holloman</t>
  </si>
  <si>
    <t>38301</t>
  </si>
  <si>
    <t>FUR-FU-10003930</t>
  </si>
  <si>
    <t>Howard Miller 12-3/4 Diameter Accuwave DS  Wall Clock</t>
  </si>
  <si>
    <t>4334</t>
  </si>
  <si>
    <t>CA-2017-112375</t>
  </si>
  <si>
    <t>RD-19720</t>
  </si>
  <si>
    <t>Roger Demir</t>
  </si>
  <si>
    <t>Daytona Beach</t>
  </si>
  <si>
    <t>32114</t>
  </si>
  <si>
    <t>TEC-AC-10003237</t>
  </si>
  <si>
    <t>Memorex Micro Travel Drive 4 GB</t>
  </si>
  <si>
    <t>4353</t>
  </si>
  <si>
    <t>CA-2019-107748</t>
  </si>
  <si>
    <t>AG-10330</t>
  </si>
  <si>
    <t>Alex Grayson</t>
  </si>
  <si>
    <t>TEC-PH-10003215</t>
  </si>
  <si>
    <t>Jackery Bar Premium Fast-charging Portable Charger</t>
  </si>
  <si>
    <t>4499</t>
  </si>
  <si>
    <t>CA-2016-103401</t>
  </si>
  <si>
    <t>GR-14560</t>
  </si>
  <si>
    <t>Georgia Rosenberg</t>
  </si>
  <si>
    <t>OFF-PA-10003309</t>
  </si>
  <si>
    <t>Xerox 211</t>
  </si>
  <si>
    <t>4510</t>
  </si>
  <si>
    <t>CA-2019-167003</t>
  </si>
  <si>
    <t>VS-21820</t>
  </si>
  <si>
    <t>Vivek Sundaresam</t>
  </si>
  <si>
    <t>FUR-TA-10001520</t>
  </si>
  <si>
    <t>Lesro Sheffield Collection Coffee Table, End Table, Center Table, Corner Table</t>
  </si>
  <si>
    <t>4543</t>
  </si>
  <si>
    <t>CA-2019-113474</t>
  </si>
  <si>
    <t>TM-21490</t>
  </si>
  <si>
    <t>Tony Molinari</t>
  </si>
  <si>
    <t>Oklahoma City</t>
  </si>
  <si>
    <t>73120</t>
  </si>
  <si>
    <t>OFF-EN-10004206</t>
  </si>
  <si>
    <t>Multimedia Mailers</t>
  </si>
  <si>
    <t>4584</t>
  </si>
  <si>
    <t>US-2018-100405</t>
  </si>
  <si>
    <t>TS-21430</t>
  </si>
  <si>
    <t>Tom Stivers</t>
  </si>
  <si>
    <t>OFF-AR-10000390</t>
  </si>
  <si>
    <t>Newell Chalk Holder</t>
  </si>
  <si>
    <t>4648</t>
  </si>
  <si>
    <t>CA-2018-139556</t>
  </si>
  <si>
    <t>DB-13360</t>
  </si>
  <si>
    <t>Dennis Bolton</t>
  </si>
  <si>
    <t>FUR-CH-10004983</t>
  </si>
  <si>
    <t>Office Star - Mid Back Dual function Ergonomic High Back Chair with 2-Way Adjustable Arms</t>
  </si>
  <si>
    <t>4722</t>
  </si>
  <si>
    <t>CA-2016-106229</t>
  </si>
  <si>
    <t>NR-18550</t>
  </si>
  <si>
    <t>Nick Radford</t>
  </si>
  <si>
    <t>FUR-TA-10002041</t>
  </si>
  <si>
    <t>Bevis Round Conference Table Top, X-Base</t>
  </si>
  <si>
    <t>4769</t>
  </si>
  <si>
    <t>CA-2019-158883</t>
  </si>
  <si>
    <t>CS-11860</t>
  </si>
  <si>
    <t>Cari Schnelling</t>
  </si>
  <si>
    <t>OFF-PA-10004733</t>
  </si>
  <si>
    <t>Things To Do Today Spiral Book</t>
  </si>
  <si>
    <t>4795</t>
  </si>
  <si>
    <t>CA-2017-144722</t>
  </si>
  <si>
    <t>MF-18250</t>
  </si>
  <si>
    <t>Monica Federle</t>
  </si>
  <si>
    <t>FUR-FU-10001215</t>
  </si>
  <si>
    <t>Howard Miller 11-1/2" Diameter Brentwood Wall Clock</t>
  </si>
  <si>
    <t>4820</t>
  </si>
  <si>
    <t>CA-2019-117436</t>
  </si>
  <si>
    <t>LW-17125</t>
  </si>
  <si>
    <t>Liz Willingham</t>
  </si>
  <si>
    <t>4926</t>
  </si>
  <si>
    <t>CA-2019-126438</t>
  </si>
  <si>
    <t>AR-10345</t>
  </si>
  <si>
    <t>Alex Russell</t>
  </si>
  <si>
    <t>OFF-AR-10003338</t>
  </si>
  <si>
    <t>Eberhard Faber 3 1/2" Golf Pencils</t>
  </si>
  <si>
    <t>4936</t>
  </si>
  <si>
    <t>CA-2017-155124</t>
  </si>
  <si>
    <t>KS-16300</t>
  </si>
  <si>
    <t>Karen Seio</t>
  </si>
  <si>
    <t>Lehi</t>
  </si>
  <si>
    <t>84043</t>
  </si>
  <si>
    <t>TEC-PH-10003356</t>
  </si>
  <si>
    <t>SmartStand Mobile Device Holder, Assorted Colors</t>
  </si>
  <si>
    <t>4962</t>
  </si>
  <si>
    <t>CA-2016-156587</t>
  </si>
  <si>
    <t>AB-10015</t>
  </si>
  <si>
    <t>Aaron Bergman</t>
  </si>
  <si>
    <t>FUR-CH-10004477</t>
  </si>
  <si>
    <t>Global Push Button Manager's Chair, Indigo</t>
  </si>
  <si>
    <t>5009</t>
  </si>
  <si>
    <t>CA-2017-102876</t>
  </si>
  <si>
    <t>LR-17035</t>
  </si>
  <si>
    <t>Lisa Ryan</t>
  </si>
  <si>
    <t>OFF-BI-10004781</t>
  </si>
  <si>
    <t>GBC Wire Binding Strips</t>
  </si>
  <si>
    <t>5018</t>
  </si>
  <si>
    <t>CA-2016-127558</t>
  </si>
  <si>
    <t>SS-20410</t>
  </si>
  <si>
    <t>Shahid Shariari</t>
  </si>
  <si>
    <t>5083</t>
  </si>
  <si>
    <t>CA-2018-155138</t>
  </si>
  <si>
    <t>JM-15580</t>
  </si>
  <si>
    <t>Jill Matthias</t>
  </si>
  <si>
    <t>TEC-AC-10004209</t>
  </si>
  <si>
    <t>Memorex Froggy Flash Drive 4 GB</t>
  </si>
  <si>
    <t>5343</t>
  </si>
  <si>
    <t>US-2016-168501</t>
  </si>
  <si>
    <t>JK-15325</t>
  </si>
  <si>
    <t>Jason Klamczynski</t>
  </si>
  <si>
    <t>5382</t>
  </si>
  <si>
    <t>CA-2018-149195</t>
  </si>
  <si>
    <t>DM-13525</t>
  </si>
  <si>
    <t>Don Miller</t>
  </si>
  <si>
    <t>OFF-PA-10001870</t>
  </si>
  <si>
    <t>Xerox 202</t>
  </si>
  <si>
    <t>5401</t>
  </si>
  <si>
    <t>CA-2019-132262</t>
  </si>
  <si>
    <t>ML-18265</t>
  </si>
  <si>
    <t>Muhammed Lee</t>
  </si>
  <si>
    <t>5428</t>
  </si>
  <si>
    <t>US-2018-108497</t>
  </si>
  <si>
    <t>MH-17290</t>
  </si>
  <si>
    <t>Marc Harrigan</t>
  </si>
  <si>
    <t>FUR-BO-10004218</t>
  </si>
  <si>
    <t>Bush Heritage Pine Collection 5-Shelf Bookcase, Albany Pine Finish, *Special Order</t>
  </si>
  <si>
    <t>5431</t>
  </si>
  <si>
    <t>CA-2019-117422</t>
  </si>
  <si>
    <t>FC-14245</t>
  </si>
  <si>
    <t>Frank Carlisle</t>
  </si>
  <si>
    <t>44107</t>
  </si>
  <si>
    <t>OFF-AP-10000938</t>
  </si>
  <si>
    <t>Avanti 1.7 Cu. Ft. Refrigerator</t>
  </si>
  <si>
    <t>5503</t>
  </si>
  <si>
    <t>CA-2019-127782</t>
  </si>
  <si>
    <t>TH-21115</t>
  </si>
  <si>
    <t>Thea Hudgings</t>
  </si>
  <si>
    <t>FUR-FU-10001847</t>
  </si>
  <si>
    <t>Eldon Image Series Black Desk Accessories</t>
  </si>
  <si>
    <t>5531</t>
  </si>
  <si>
    <t>CA-2019-160885</t>
  </si>
  <si>
    <t>JK-16090</t>
  </si>
  <si>
    <t>Juliana Krohn</t>
  </si>
  <si>
    <t>Omaha</t>
  </si>
  <si>
    <t>68104</t>
  </si>
  <si>
    <t>TEC-PH-10001795</t>
  </si>
  <si>
    <t>ClearOne CHATAttach 160 - speaker phone</t>
  </si>
  <si>
    <t>5597</t>
  </si>
  <si>
    <t>CA-2017-159779</t>
  </si>
  <si>
    <t>SB-20185</t>
  </si>
  <si>
    <t>Sarah Brown</t>
  </si>
  <si>
    <t>3301</t>
  </si>
  <si>
    <t>OFF-BI-10002735</t>
  </si>
  <si>
    <t>GBC Prestige Therm-A-Bind Covers</t>
  </si>
  <si>
    <t>5610</t>
  </si>
  <si>
    <t>CA-2019-117198</t>
  </si>
  <si>
    <t>BG-11035</t>
  </si>
  <si>
    <t>Barry Gonzalez</t>
  </si>
  <si>
    <t>TEC-AC-10003033</t>
  </si>
  <si>
    <t>Plantronics CS510 - Over-the-Head monaural Wireless Headset System</t>
  </si>
  <si>
    <t>5758</t>
  </si>
  <si>
    <t>CA-2017-119634</t>
  </si>
  <si>
    <t>BW-11065</t>
  </si>
  <si>
    <t>Barry Weirich</t>
  </si>
  <si>
    <t>5789</t>
  </si>
  <si>
    <t>CA-2019-115070</t>
  </si>
  <si>
    <t>MG-18205</t>
  </si>
  <si>
    <t>Mitch Gastineau</t>
  </si>
  <si>
    <t>FUR-FU-10003829</t>
  </si>
  <si>
    <t>Stackable Trays</t>
  </si>
  <si>
    <t>5838</t>
  </si>
  <si>
    <t>CA-2019-133207</t>
  </si>
  <si>
    <t>DO-13645</t>
  </si>
  <si>
    <t>Doug O'Connell</t>
  </si>
  <si>
    <t>TEC-PH-10004100</t>
  </si>
  <si>
    <t>Griffin GC17055 Auxiliary Audio Cable</t>
  </si>
  <si>
    <t>5888</t>
  </si>
  <si>
    <t>CA-2019-151596</t>
  </si>
  <si>
    <t>BP-11050</t>
  </si>
  <si>
    <t>Barry Pond</t>
  </si>
  <si>
    <t>Cranston</t>
  </si>
  <si>
    <t>2920</t>
  </si>
  <si>
    <t>OFF-ST-10001837</t>
  </si>
  <si>
    <t>SAFCO Mobile Desk Side File, Wire Frame</t>
  </si>
  <si>
    <t>6051</t>
  </si>
  <si>
    <t>CA-2017-153878</t>
  </si>
  <si>
    <t>TS-21655</t>
  </si>
  <si>
    <t>Trudy Schmidt</t>
  </si>
  <si>
    <t>6130</t>
  </si>
  <si>
    <t>CA-2019-162033</t>
  </si>
  <si>
    <t>EM-14200</t>
  </si>
  <si>
    <t>Evan Minnotte</t>
  </si>
  <si>
    <t>6134</t>
  </si>
  <si>
    <t>CA-2018-148096</t>
  </si>
  <si>
    <t>AO-10810</t>
  </si>
  <si>
    <t>Anthony O'Donnell</t>
  </si>
  <si>
    <t>FUR-TA-10004152</t>
  </si>
  <si>
    <t>Barricks 18" x 48" Non-Folding Utility Table with Bottom Storage Shelf</t>
  </si>
  <si>
    <t>6171</t>
  </si>
  <si>
    <t>CA-2018-141523</t>
  </si>
  <si>
    <t>MH-17440</t>
  </si>
  <si>
    <t>Mark Haberlin</t>
  </si>
  <si>
    <t>6498</t>
  </si>
  <si>
    <t>CA-2017-103135</t>
  </si>
  <si>
    <t>SS-20515</t>
  </si>
  <si>
    <t>Shirley Schmidt</t>
  </si>
  <si>
    <t>6506</t>
  </si>
  <si>
    <t>CA-2018-152331</t>
  </si>
  <si>
    <t>LD-16855</t>
  </si>
  <si>
    <t>Lela Donovan</t>
  </si>
  <si>
    <t>6623</t>
  </si>
  <si>
    <t>CA-2016-130449</t>
  </si>
  <si>
    <t>VP-21760</t>
  </si>
  <si>
    <t>Victoria Pisteka</t>
  </si>
  <si>
    <t>6756</t>
  </si>
  <si>
    <t>CA-2019-124205</t>
  </si>
  <si>
    <t>TC-21145</t>
  </si>
  <si>
    <t>Theresa Coyne</t>
  </si>
  <si>
    <t>6791</t>
  </si>
  <si>
    <t>CA-2018-124527</t>
  </si>
  <si>
    <t>IM-15055</t>
  </si>
  <si>
    <t>Ionia McGrath</t>
  </si>
  <si>
    <t>OFF-BI-10004967</t>
  </si>
  <si>
    <t>Round Ring Binders</t>
  </si>
  <si>
    <t>6957</t>
  </si>
  <si>
    <t>CA-2018-157588</t>
  </si>
  <si>
    <t>AR-10570</t>
  </si>
  <si>
    <t>Anemone Ratner</t>
  </si>
  <si>
    <t>OFF-BI-10003963</t>
  </si>
  <si>
    <t>Cardinal Holdit Data Disk Pockets</t>
  </si>
  <si>
    <t>7546</t>
  </si>
  <si>
    <t>CA-2016-103492</t>
  </si>
  <si>
    <t>CM-12715</t>
  </si>
  <si>
    <t>Craig Molinari</t>
  </si>
  <si>
    <t>TEC-PH-10001128</t>
  </si>
  <si>
    <t>Motorola Droid Maxx</t>
  </si>
  <si>
    <t>7654</t>
  </si>
  <si>
    <t>CA-2017-121552</t>
  </si>
  <si>
    <t>FW-14395</t>
  </si>
  <si>
    <t>Fred Wasserman</t>
  </si>
  <si>
    <t>OFF-AR-10003217</t>
  </si>
  <si>
    <t>Newell 316</t>
  </si>
  <si>
    <t>8086</t>
  </si>
  <si>
    <t>CA-2018-105753</t>
  </si>
  <si>
    <t>LC-16960</t>
  </si>
  <si>
    <t>Lindsay Castell</t>
  </si>
  <si>
    <t>FUR-FU-10000246</t>
  </si>
  <si>
    <t>Aluminum Document Frame</t>
  </si>
  <si>
    <t>8176</t>
  </si>
  <si>
    <t>CA-2018-114944</t>
  </si>
  <si>
    <t>HE-14800</t>
  </si>
  <si>
    <t>Harold Engle</t>
  </si>
  <si>
    <t>OFF-PA-10003892</t>
  </si>
  <si>
    <t>Xerox 1943</t>
  </si>
  <si>
    <t>8486</t>
  </si>
  <si>
    <t>CA-2019-124716</t>
  </si>
  <si>
    <t>BD-11560</t>
  </si>
  <si>
    <t>Brendan Dodson</t>
  </si>
  <si>
    <t>8537</t>
  </si>
  <si>
    <t>CA-2017-157343</t>
  </si>
  <si>
    <t>HD-14785</t>
  </si>
  <si>
    <t>Harold Dahlen</t>
  </si>
  <si>
    <t>8667</t>
  </si>
  <si>
    <t>CA-2018-163951</t>
  </si>
  <si>
    <t>CJ-11875</t>
  </si>
  <si>
    <t>Carl Jackson</t>
  </si>
  <si>
    <t>OFF-AR-10004269</t>
  </si>
  <si>
    <t>Newell 31</t>
  </si>
  <si>
    <t>9210</t>
  </si>
  <si>
    <t>CA-2019-142776</t>
  </si>
  <si>
    <t>RS-19870</t>
  </si>
  <si>
    <t>Roy Skaria</t>
  </si>
  <si>
    <t>52601</t>
  </si>
  <si>
    <t>OFF-EN-10003160</t>
  </si>
  <si>
    <t>Pastel Pink Envelopes</t>
  </si>
  <si>
    <t>9400</t>
  </si>
  <si>
    <t>CA-2018-103128</t>
  </si>
  <si>
    <t>SC-20845</t>
  </si>
  <si>
    <t>Sung Chung</t>
  </si>
  <si>
    <t>Arlington Heights</t>
  </si>
  <si>
    <t>60004</t>
  </si>
  <si>
    <t>9442</t>
  </si>
  <si>
    <t>CA-2016-165477</t>
  </si>
  <si>
    <t>RE-19405</t>
  </si>
  <si>
    <t>Ricardo Emerson</t>
  </si>
  <si>
    <t>OFF-AP-10003281</t>
  </si>
  <si>
    <t>Acco 6 Outlet Guardian Standard Surge Suppressor</t>
  </si>
  <si>
    <t>9559</t>
  </si>
  <si>
    <t>CA-2018-129280</t>
  </si>
  <si>
    <t>SM-20905</t>
  </si>
  <si>
    <t>Susan MacKendrick</t>
  </si>
  <si>
    <t>Person</t>
  </si>
  <si>
    <t>Returned</t>
  </si>
  <si>
    <t>Yes</t>
  </si>
  <si>
    <t>CA-2016-100762</t>
  </si>
  <si>
    <t>CA-2016-100867</t>
  </si>
  <si>
    <t>CA-2016-102652</t>
  </si>
  <si>
    <t>CA-2016-103373</t>
  </si>
  <si>
    <t>CA-2016-103744</t>
  </si>
  <si>
    <t>CA-2016-103940</t>
  </si>
  <si>
    <t>CA-2016-104829</t>
  </si>
  <si>
    <t>CA-2016-105270</t>
  </si>
  <si>
    <t>CA-2016-108609</t>
  </si>
  <si>
    <t>CA-2016-108861</t>
  </si>
  <si>
    <t>CA-2016-109918</t>
  </si>
  <si>
    <t>CA-2016-110786</t>
  </si>
  <si>
    <t>CA-2016-111871</t>
  </si>
  <si>
    <t>CA-2016-116785</t>
  </si>
  <si>
    <t>CA-2016-123225</t>
  </si>
  <si>
    <t>CA-2016-123253</t>
  </si>
  <si>
    <t>CA-2016-123498</t>
  </si>
  <si>
    <t>CA-2016-124688</t>
  </si>
  <si>
    <t>CA-2016-126361</t>
  </si>
  <si>
    <t>CA-2016-134726</t>
  </si>
  <si>
    <t>CA-2016-135657</t>
  </si>
  <si>
    <t>CA-2016-140816</t>
  </si>
  <si>
    <t>CA-2016-141726</t>
  </si>
  <si>
    <t>CA-2016-142769</t>
  </si>
  <si>
    <t>CA-2016-148614</t>
  </si>
  <si>
    <t>CA-2016-151162</t>
  </si>
  <si>
    <t>CA-2016-152345</t>
  </si>
  <si>
    <t>CA-2016-153150</t>
  </si>
  <si>
    <t>CA-2016-157924</t>
  </si>
  <si>
    <t>CA-2016-159338</t>
  </si>
  <si>
    <t>CA-2016-160766</t>
  </si>
  <si>
    <t>CA-2016-164721</t>
  </si>
  <si>
    <t>CA-2016-166744</t>
  </si>
  <si>
    <t>CA-2016-169019</t>
  </si>
  <si>
    <t>CA-2017-103716</t>
  </si>
  <si>
    <t>CA-2017-104129</t>
  </si>
  <si>
    <t>CA-2017-105158</t>
  </si>
  <si>
    <t>CA-2017-107678</t>
  </si>
  <si>
    <t>CA-2017-109736</t>
  </si>
  <si>
    <t>CA-2017-110814</t>
  </si>
  <si>
    <t>CA-2017-111948</t>
  </si>
  <si>
    <t>CA-2017-112144</t>
  </si>
  <si>
    <t>CA-2017-113628</t>
  </si>
  <si>
    <t>CA-2017-114048</t>
  </si>
  <si>
    <t>CA-2017-119214</t>
  </si>
  <si>
    <t>CA-2017-119907</t>
  </si>
  <si>
    <t>CA-2017-123568</t>
  </si>
  <si>
    <t>CA-2017-124058</t>
  </si>
  <si>
    <t>CA-2017-130456</t>
  </si>
  <si>
    <t>CA-2017-130785</t>
  </si>
  <si>
    <t>CA-2017-132374</t>
  </si>
  <si>
    <t>CA-2017-132941</t>
  </si>
  <si>
    <t>CA-2017-134075</t>
  </si>
  <si>
    <t>CA-2017-134201</t>
  </si>
  <si>
    <t>CA-2017-135580</t>
  </si>
  <si>
    <t>CA-2017-138674</t>
  </si>
  <si>
    <t>CA-2017-139731</t>
  </si>
  <si>
    <t>CA-2017-140984</t>
  </si>
  <si>
    <t>CA-2017-141593</t>
  </si>
  <si>
    <t>CA-2017-142601</t>
  </si>
  <si>
    <t>CA-2017-143490</t>
  </si>
  <si>
    <t>CA-2017-144267</t>
  </si>
  <si>
    <t>CA-2017-146255</t>
  </si>
  <si>
    <t>CA-2017-146486</t>
  </si>
  <si>
    <t>CA-2017-148873</t>
  </si>
  <si>
    <t>CA-2017-149342</t>
  </si>
  <si>
    <t>CA-2017-149636</t>
  </si>
  <si>
    <t>CA-2017-149650</t>
  </si>
  <si>
    <t>CA-2017-150770</t>
  </si>
  <si>
    <t>CA-2017-150875</t>
  </si>
  <si>
    <t>CA-2017-151547</t>
  </si>
  <si>
    <t>CA-2017-153220</t>
  </si>
  <si>
    <t>CA-2017-154970</t>
  </si>
  <si>
    <t>CA-2017-156440</t>
  </si>
  <si>
    <t>CA-2017-157770</t>
  </si>
  <si>
    <t>CA-2017-161627</t>
  </si>
  <si>
    <t>CA-2017-162166</t>
  </si>
  <si>
    <t>CA-2017-164882</t>
  </si>
  <si>
    <t>CA-2017-168564</t>
  </si>
  <si>
    <t>CA-2018-104689</t>
  </si>
  <si>
    <t>CA-2018-105081</t>
  </si>
  <si>
    <t>CA-2018-105291</t>
  </si>
  <si>
    <t>CA-2018-105585</t>
  </si>
  <si>
    <t>CA-2018-106950</t>
  </si>
  <si>
    <t>CA-2018-112123</t>
  </si>
  <si>
    <t>CA-2018-113341</t>
  </si>
  <si>
    <t>CA-2018-114307</t>
  </si>
  <si>
    <t>CA-2018-114727</t>
  </si>
  <si>
    <t>CA-2018-115917</t>
  </si>
  <si>
    <t>CA-2018-116547</t>
  </si>
  <si>
    <t>CA-2018-116736</t>
  </si>
  <si>
    <t>CA-2018-118311</t>
  </si>
  <si>
    <t>CA-2018-118500</t>
  </si>
  <si>
    <t>CA-2018-118899</t>
  </si>
  <si>
    <t>CA-2018-120873</t>
  </si>
  <si>
    <t>CA-2018-123526</t>
  </si>
  <si>
    <t>CA-2018-126732</t>
  </si>
  <si>
    <t>CA-2018-128671</t>
  </si>
  <si>
    <t>CA-2018-130477</t>
  </si>
  <si>
    <t>CA-2018-130638</t>
  </si>
  <si>
    <t>CA-2018-130680</t>
  </si>
  <si>
    <t>CA-2018-133319</t>
  </si>
  <si>
    <t>CA-2018-133368</t>
  </si>
  <si>
    <t>CA-2018-133802</t>
  </si>
  <si>
    <t>CA-2018-134803</t>
  </si>
  <si>
    <t>CA-2018-136483</t>
  </si>
  <si>
    <t>CA-2018-136924</t>
  </si>
  <si>
    <t>CA-2018-138282</t>
  </si>
  <si>
    <t>CA-2018-142398</t>
  </si>
  <si>
    <t>CA-2018-145261</t>
  </si>
  <si>
    <t>CA-2018-145492</t>
  </si>
  <si>
    <t>CA-2018-145982</t>
  </si>
  <si>
    <t>CA-2018-150077</t>
  </si>
  <si>
    <t>CA-2018-151323</t>
  </si>
  <si>
    <t>CA-2018-151372</t>
  </si>
  <si>
    <t>CA-2018-157280</t>
  </si>
  <si>
    <t>CA-2018-159023</t>
  </si>
  <si>
    <t>CA-2018-161746</t>
  </si>
  <si>
    <t>CA-2018-162159</t>
  </si>
  <si>
    <t>CA-2018-165330</t>
  </si>
  <si>
    <t>CA-2018-166275</t>
  </si>
  <si>
    <t>CA-2018-167759</t>
  </si>
  <si>
    <t>CA-2018-168921</t>
  </si>
  <si>
    <t>CA-2019-100111</t>
  </si>
  <si>
    <t>CA-2019-101273</t>
  </si>
  <si>
    <t>CA-2019-101574</t>
  </si>
  <si>
    <t>CA-2019-101700</t>
  </si>
  <si>
    <t>CA-2019-101805</t>
  </si>
  <si>
    <t>CA-2019-102519</t>
  </si>
  <si>
    <t>CA-2019-107825</t>
  </si>
  <si>
    <t>CA-2019-108294</t>
  </si>
  <si>
    <t>CA-2019-108931</t>
  </si>
  <si>
    <t>CA-2019-109085</t>
  </si>
  <si>
    <t>CA-2019-111556</t>
  </si>
  <si>
    <t>CA-2019-112725</t>
  </si>
  <si>
    <t>CA-2019-112753</t>
  </si>
  <si>
    <t>CA-2019-112865</t>
  </si>
  <si>
    <t>CA-2019-113670</t>
  </si>
  <si>
    <t>CA-2019-117513</t>
  </si>
  <si>
    <t>CA-2019-117926</t>
  </si>
  <si>
    <t>CA-2019-118122</t>
  </si>
  <si>
    <t>CA-2019-118542</t>
  </si>
  <si>
    <t>CA-2019-119284</t>
  </si>
  <si>
    <t>CA-2019-121258</t>
  </si>
  <si>
    <t>CA-2019-121853</t>
  </si>
  <si>
    <t>CA-2019-122007</t>
  </si>
  <si>
    <t>CA-2019-122504</t>
  </si>
  <si>
    <t>CA-2019-123085</t>
  </si>
  <si>
    <t>CA-2019-124401</t>
  </si>
  <si>
    <t>CA-2019-127306</t>
  </si>
  <si>
    <t>CA-2019-128965</t>
  </si>
  <si>
    <t>CA-2019-129707</t>
  </si>
  <si>
    <t>CA-2019-130631</t>
  </si>
  <si>
    <t>CA-2019-131492</t>
  </si>
  <si>
    <t>CA-2019-131807</t>
  </si>
  <si>
    <t>CA-2019-132346</t>
  </si>
  <si>
    <t>CA-2019-134194</t>
  </si>
  <si>
    <t>CA-2019-135692</t>
  </si>
  <si>
    <t>CA-2019-136308</t>
  </si>
  <si>
    <t>CA-2019-136651</t>
  </si>
  <si>
    <t>CA-2019-137085</t>
  </si>
  <si>
    <t>CA-2019-137414</t>
  </si>
  <si>
    <t>CA-2019-138163</t>
  </si>
  <si>
    <t>CA-2019-140053</t>
  </si>
  <si>
    <t>CA-2019-140151</t>
  </si>
  <si>
    <t>CA-2019-140186</t>
  </si>
  <si>
    <t>CA-2019-140585</t>
  </si>
  <si>
    <t>CA-2019-141929</t>
  </si>
  <si>
    <t>CA-2019-142328</t>
  </si>
  <si>
    <t>CA-2019-142342</t>
  </si>
  <si>
    <t>CA-2019-142867</t>
  </si>
  <si>
    <t>CA-2019-143084</t>
  </si>
  <si>
    <t>CA-2019-144064</t>
  </si>
  <si>
    <t>CA-2019-145128</t>
  </si>
  <si>
    <t>CA-2019-145772</t>
  </si>
  <si>
    <t>CA-2019-147452</t>
  </si>
  <si>
    <t>CA-2019-150609</t>
  </si>
  <si>
    <t>CA-2019-150910</t>
  </si>
  <si>
    <t>CA-2019-152660</t>
  </si>
  <si>
    <t>CA-2019-153822</t>
  </si>
  <si>
    <t>CA-2019-154074</t>
  </si>
  <si>
    <t>CA-2019-154949</t>
  </si>
  <si>
    <t>CA-2019-155712</t>
  </si>
  <si>
    <t>CA-2019-156391</t>
  </si>
  <si>
    <t>CA-2019-156958</t>
  </si>
  <si>
    <t>CA-2019-157196</t>
  </si>
  <si>
    <t>CA-2019-158729</t>
  </si>
  <si>
    <t>CA-2019-159954</t>
  </si>
  <si>
    <t>CA-2019-161459</t>
  </si>
  <si>
    <t>CA-2019-161557</t>
  </si>
  <si>
    <t>CA-2019-161956</t>
  </si>
  <si>
    <t>CA-2019-162015</t>
  </si>
  <si>
    <t>CA-2019-165008</t>
  </si>
  <si>
    <t>CA-2019-165491</t>
  </si>
  <si>
    <t>CA-2019-166093</t>
  </si>
  <si>
    <t>CA-2019-166898</t>
  </si>
  <si>
    <t>CA-2019-167395</t>
  </si>
  <si>
    <t>CA-2019-169327</t>
  </si>
  <si>
    <t>CA-2019-169859</t>
  </si>
  <si>
    <t>CA-2019-169894</t>
  </si>
  <si>
    <t>US-2016-105137</t>
  </si>
  <si>
    <t>US-2016-138758</t>
  </si>
  <si>
    <t>US-2016-140452</t>
  </si>
  <si>
    <t>US-2016-143287</t>
  </si>
  <si>
    <t>US-2016-164406</t>
  </si>
  <si>
    <t>US-2016-164763</t>
  </si>
  <si>
    <t>US-2017-110569</t>
  </si>
  <si>
    <t>US-2017-128090</t>
  </si>
  <si>
    <t>US-2017-136749</t>
  </si>
  <si>
    <t>US-2017-136987</t>
  </si>
  <si>
    <t>US-2017-137008</t>
  </si>
  <si>
    <t>US-2017-160857</t>
  </si>
  <si>
    <t>US-2018-108455</t>
  </si>
  <si>
    <t>US-2018-111528</t>
  </si>
  <si>
    <t>US-2018-114230</t>
  </si>
  <si>
    <t>US-2018-114293</t>
  </si>
  <si>
    <t>US-2018-115952</t>
  </si>
  <si>
    <t>US-2018-119046</t>
  </si>
  <si>
    <t>US-2018-127425</t>
  </si>
  <si>
    <t>US-2018-131149</t>
  </si>
  <si>
    <t>US-2018-140172</t>
  </si>
  <si>
    <t>US-2018-144057</t>
  </si>
  <si>
    <t>US-2018-148957</t>
  </si>
  <si>
    <t>US-2018-151827</t>
  </si>
  <si>
    <t>US-2018-152051</t>
  </si>
  <si>
    <t>US-2018-157490</t>
  </si>
  <si>
    <t>US-2019-103247</t>
  </si>
  <si>
    <t>US-2019-103828</t>
  </si>
  <si>
    <t>US-2019-105046</t>
  </si>
  <si>
    <t>US-2019-107888</t>
  </si>
  <si>
    <t>US-2019-123834</t>
  </si>
  <si>
    <t>US-2019-136679</t>
  </si>
  <si>
    <t>US-2019-147886</t>
  </si>
  <si>
    <t>US-2019-147998</t>
  </si>
  <si>
    <t>US-2019-151127</t>
  </si>
  <si>
    <t>US-2019-155999</t>
  </si>
  <si>
    <t xml:space="preserve">Top 10 Cities in sales </t>
  </si>
  <si>
    <t xml:space="preserve">sales by  category </t>
  </si>
  <si>
    <t>top 10 states in sales</t>
  </si>
  <si>
    <t>sales by regoin</t>
  </si>
  <si>
    <t>sales by states and category</t>
  </si>
  <si>
    <t>Sum of Sales</t>
  </si>
  <si>
    <t>Sum of COGS</t>
  </si>
  <si>
    <t>Sum of Discount</t>
  </si>
  <si>
    <t>Sum of Profit</t>
  </si>
  <si>
    <t>Row Labels</t>
  </si>
  <si>
    <t>(blank)</t>
  </si>
  <si>
    <t>Grand Total</t>
  </si>
  <si>
    <t>Top 10 Cities</t>
  </si>
  <si>
    <t>Sales By Category</t>
  </si>
  <si>
    <t xml:space="preserve">top 10 states </t>
  </si>
  <si>
    <t>sales by persons</t>
  </si>
  <si>
    <t>Sales By Persons</t>
  </si>
  <si>
    <t>Sum of Quantity</t>
  </si>
  <si>
    <t>sum of quantity by person</t>
  </si>
  <si>
    <t>T.Order-ID</t>
  </si>
  <si>
    <t>Profit By Order</t>
  </si>
  <si>
    <t xml:space="preserve">returned </t>
  </si>
  <si>
    <t>net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</si>
</sst>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0_);_(* \(#,##0.0\);_(* &quot;-&quot;??_);_(@_)"/>
    <numFmt numFmtId="165" formatCode="_(* #,##0_);_(* \(#,##0\);_(* &quot;-&quot;??_);_(@_)"/>
    <numFmt numFmtId="166" formatCode="_(* #,##0.000_);_(* \(#,##0.000\);_(* &quot;-&quot;??_);_(@_)"/>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43" fontId="0" fillId="0" borderId="0" xfId="0" pivotButton="1" applyNumberFormat="1"/>
    <xf numFmtId="43" fontId="0" fillId="0" borderId="0" xfId="0" applyNumberFormat="1"/>
    <xf numFmtId="43" fontId="0" fillId="0" borderId="0" xfId="0" applyNumberFormat="1" applyAlignment="1">
      <alignment horizontal="left"/>
    </xf>
    <xf numFmtId="165" fontId="0" fillId="0" borderId="0" xfId="0" pivotButton="1" applyNumberFormat="1"/>
    <xf numFmtId="165" fontId="0" fillId="0" borderId="0" xfId="0" applyNumberFormat="1"/>
    <xf numFmtId="165" fontId="0" fillId="0" borderId="0" xfId="0" applyNumberFormat="1" applyAlignment="1">
      <alignment horizontal="left"/>
    </xf>
    <xf numFmtId="166" fontId="0" fillId="0" borderId="0" xfId="0" applyNumberFormat="1"/>
    <xf numFmtId="0" fontId="0" fillId="0" borderId="0" xfId="0" applyAlignment="1">
      <alignment horizontal="left" indent="1"/>
    </xf>
    <xf numFmtId="0" fontId="0" fillId="2" borderId="0" xfId="0" applyFill="1"/>
    <xf numFmtId="166" fontId="0" fillId="0" borderId="0" xfId="1" applyNumberFormat="1" applyFont="1"/>
    <xf numFmtId="43" fontId="0" fillId="0" borderId="0" xfId="1" applyFont="1"/>
    <xf numFmtId="164" fontId="0" fillId="0" borderId="0" xfId="1" applyNumberFormat="1" applyFont="1"/>
    <xf numFmtId="165" fontId="0" fillId="0" borderId="0" xfId="1" applyNumberFormat="1" applyFont="1"/>
    <xf numFmtId="0" fontId="0" fillId="0" borderId="0" xfId="0" applyNumberFormat="1"/>
  </cellXfs>
  <cellStyles count="2">
    <cellStyle name="Comma" xfId="1" builtinId="3"/>
    <cellStyle name="Normal" xfId="0" builtinId="0"/>
  </cellStyles>
  <dxfs count="2632">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6" formatCode="_(* #,##0.000_);_(* \(#,##0.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577B1A08-94F3-4603-B29B-7806AD2E0CB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61" Type="http://schemas.openxmlformats.org/officeDocument/2006/relationships/customXml" Target="../customXml/item33.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[Book1.xlsx]SMART Quiestion!Top 10 Cities By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'SMART Quiestion'!$G$17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Quiestion'!$F$18:$F$28</c:f>
              <c:strCache>
                <c:ptCount val="10"/>
                <c:pt idx="0">
                  <c:v>Jackson</c:v>
                </c:pt>
                <c:pt idx="1">
                  <c:v>Jamestown</c:v>
                </c:pt>
                <c:pt idx="2">
                  <c:v>Chicago</c:v>
                </c:pt>
                <c:pt idx="3">
                  <c:v>Houston</c:v>
                </c:pt>
                <c:pt idx="4">
                  <c:v>Seattle</c:v>
                </c:pt>
                <c:pt idx="5">
                  <c:v>San Francisco</c:v>
                </c:pt>
                <c:pt idx="6">
                  <c:v>Philadelphia</c:v>
                </c:pt>
                <c:pt idx="7">
                  <c:v>Burlington</c:v>
                </c:pt>
                <c:pt idx="8">
                  <c:v>Los Angeles</c:v>
                </c:pt>
                <c:pt idx="9">
                  <c:v>New York City</c:v>
                </c:pt>
              </c:strCache>
            </c:strRef>
          </c:cat>
          <c:val>
            <c:numRef>
              <c:f>'SMART Quiestion'!$G$18:$G$28</c:f>
              <c:numCache>
                <c:formatCode>_(* #,##0_);_(* \(#,##0\);_(* "-"??_);_(@_)</c:formatCode>
                <c:ptCount val="10"/>
                <c:pt idx="0">
                  <c:v>4059.212</c:v>
                </c:pt>
                <c:pt idx="1">
                  <c:v>4548.8100000000004</c:v>
                </c:pt>
                <c:pt idx="2">
                  <c:v>5075.652</c:v>
                </c:pt>
                <c:pt idx="3">
                  <c:v>6445.8540000000003</c:v>
                </c:pt>
                <c:pt idx="4">
                  <c:v>6768.7219999999998</c:v>
                </c:pt>
                <c:pt idx="5">
                  <c:v>7340.7370000000001</c:v>
                </c:pt>
                <c:pt idx="6">
                  <c:v>7370.4040000000005</c:v>
                </c:pt>
                <c:pt idx="7">
                  <c:v>8040.78</c:v>
                </c:pt>
                <c:pt idx="8">
                  <c:v>10243.800999999999</c:v>
                </c:pt>
                <c:pt idx="9">
                  <c:v>21350.361000000001</c:v>
                </c:pt>
              </c:numCache>
            </c:numRef>
          </c:val>
          <c:extLst>
            <c:ext xmlns:c16="http://schemas.microsoft.com/office/drawing/2014/chart" uri="{C3380CC4-5D6E-409C-BE32-E72D297353CC}">
              <c16:uniqueId val="{00000004-154A-4514-A984-99330AE18E24}"/>
            </c:ext>
          </c:extLst>
        </c:ser>
        <c:dLbls>
          <c:dLblPos val="outEnd"/>
          <c:showLegendKey val="0"/>
          <c:showVal val="1"/>
          <c:showCatName val="0"/>
          <c:showSerName val="0"/>
          <c:showPercent val="0"/>
          <c:showBubbleSize val="0"/>
        </c:dLbls>
        <c:gapWidth val="182"/>
        <c:axId val="1331786320"/>
        <c:axId val="1331787040"/>
      </c:barChart>
      <c:catAx>
        <c:axId val="1331786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87040"/>
        <c:crosses val="autoZero"/>
        <c:auto val="1"/>
        <c:lblAlgn val="ctr"/>
        <c:lblOffset val="100"/>
        <c:noMultiLvlLbl val="0"/>
      </c:catAx>
      <c:valAx>
        <c:axId val="1331787040"/>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crossAx val="1331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[Book1.xlsx]SMART Quiestion!Sales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'SMART Quiestion'!$L$18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07-44DE-A1EC-B4D2847647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07-44DE-A1EC-B4D2847647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07-44DE-A1EC-B4D2847647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'SMART Quiestion'!$K$19:$K$22</c:f>
              <c:strCache>
                <c:ptCount val="3"/>
                <c:pt idx="0">
                  <c:v>Furniture</c:v>
                </c:pt>
                <c:pt idx="1">
                  <c:v>Office Supplies</c:v>
                </c:pt>
                <c:pt idx="2">
                  <c:v>Technology</c:v>
                </c:pt>
              </c:strCache>
            </c:strRef>
          </c:cat>
          <c:val>
            <c:numRef>
              <c:f>'SMART Quiestion'!$L$19:$L$22</c:f>
              <c:numCache>
                <c:formatCode>_(* #,##0_);_(* \(#,##0\);_(* "-"??_);_(@_)</c:formatCode>
                <c:ptCount val="3"/>
                <c:pt idx="0">
                  <c:v>53148.097800000003</c:v>
                </c:pt>
                <c:pt idx="1">
                  <c:v>45556.807000000001</c:v>
                </c:pt>
                <c:pt idx="2">
                  <c:v>69746.948999999993</c:v>
                </c:pt>
              </c:numCache>
            </c:numRef>
          </c:val>
          <c:extLst>
            <c:ext xmlns:c16="http://schemas.microsoft.com/office/drawing/2014/chart" uri="{C3380CC4-5D6E-409C-BE32-E72D297353CC}">
              <c16:uniqueId val="{00000003-5D6C-406B-81A6-2E0F2F65FD8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[Book1.xlsx]SMART Quiestion!top 10 states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a:t>
            </a:r>
            <a:r>
              <a:rPr lang="en-US" baseline="0"/>
              <a:t>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Quiestion'!$Q$18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Quiestion'!$P$19:$P$29</c:f>
              <c:strCache>
                <c:ptCount val="10"/>
                <c:pt idx="0">
                  <c:v>Illinois</c:v>
                </c:pt>
                <c:pt idx="1">
                  <c:v>Texas</c:v>
                </c:pt>
                <c:pt idx="2">
                  <c:v>California</c:v>
                </c:pt>
                <c:pt idx="3">
                  <c:v>Florida</c:v>
                </c:pt>
                <c:pt idx="4">
                  <c:v>New York</c:v>
                </c:pt>
                <c:pt idx="5">
                  <c:v>North Carolina</c:v>
                </c:pt>
                <c:pt idx="6">
                  <c:v>Ohio</c:v>
                </c:pt>
                <c:pt idx="7">
                  <c:v>Pennsylvania</c:v>
                </c:pt>
                <c:pt idx="8">
                  <c:v>Minnesota</c:v>
                </c:pt>
                <c:pt idx="9">
                  <c:v>Washington</c:v>
                </c:pt>
              </c:strCache>
            </c:strRef>
          </c:cat>
          <c:val>
            <c:numRef>
              <c:f>'SMART Quiestion'!$Q$19:$Q$29</c:f>
              <c:numCache>
                <c:formatCode>_(* #,##0_);_(* \(#,##0\);_(* "-"??_);_(@_)</c:formatCode>
                <c:ptCount val="10"/>
                <c:pt idx="0">
                  <c:v>8604.7819999999992</c:v>
                </c:pt>
                <c:pt idx="1">
                  <c:v>13575.3208</c:v>
                </c:pt>
                <c:pt idx="2">
                  <c:v>25759.093000000001</c:v>
                </c:pt>
                <c:pt idx="3">
                  <c:v>5844.5339999999997</c:v>
                </c:pt>
                <c:pt idx="4">
                  <c:v>29377.546999999999</c:v>
                </c:pt>
                <c:pt idx="5">
                  <c:v>12997.81</c:v>
                </c:pt>
                <c:pt idx="6">
                  <c:v>6168.3869999999997</c:v>
                </c:pt>
                <c:pt idx="7">
                  <c:v>7788.8919999999998</c:v>
                </c:pt>
                <c:pt idx="8">
                  <c:v>4526.28</c:v>
                </c:pt>
                <c:pt idx="9">
                  <c:v>7519.3739999999998</c:v>
                </c:pt>
              </c:numCache>
            </c:numRef>
          </c:val>
          <c:extLst>
            <c:ext xmlns:c16="http://schemas.microsoft.com/office/drawing/2014/chart" uri="{C3380CC4-5D6E-409C-BE32-E72D297353CC}">
              <c16:uniqueId val="{00000003-6D51-45AE-A88F-95CE5866CC84}"/>
            </c:ext>
          </c:extLst>
        </c:ser>
        <c:dLbls>
          <c:dLblPos val="outEnd"/>
          <c:showLegendKey val="0"/>
          <c:showVal val="1"/>
          <c:showCatName val="0"/>
          <c:showSerName val="0"/>
          <c:showPercent val="0"/>
          <c:showBubbleSize val="0"/>
        </c:dLbls>
        <c:gapWidth val="219"/>
        <c:overlap val="-27"/>
        <c:axId val="1411786088"/>
        <c:axId val="1411787168"/>
      </c:barChart>
      <c:catAx>
        <c:axId val="1411786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787168"/>
        <c:crosses val="autoZero"/>
        <c:auto val="1"/>
        <c:lblAlgn val="ctr"/>
        <c:lblOffset val="100"/>
        <c:noMultiLvlLbl val="0"/>
      </c:catAx>
      <c:valAx>
        <c:axId val="1411787168"/>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crossAx val="1411786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[Book1.xlsx]SMART Quiestion!Sales By Persons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Persons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'SMART Quiestion'!$W$18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F8B-4B98-9FCA-191D2E83A3A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F8B-4B98-9FCA-191D2E83A3A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F8B-4B98-9FCA-191D2E83A3A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F8B-4B98-9FCA-191D2E83A3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'SMART Quiestion'!$V$19:$V$23</c:f>
              <c:strCache>
                <c:ptCount val="4"/>
                <c:pt idx="0">
                  <c:v>Anna Andreadi</c:v>
                </c:pt>
                <c:pt idx="1">
                  <c:v>Cassandra Brandow</c:v>
                </c:pt>
                <c:pt idx="2">
                  <c:v>Chuck Magee</c:v>
                </c:pt>
                <c:pt idx="3">
                  <c:v>Kelly Williams</c:v>
                </c:pt>
              </c:strCache>
            </c:strRef>
          </c:cat>
          <c:val>
            <c:numRef>
              <c:f>'SMART Quiestion'!$W$19:$W$23</c:f>
              <c:numCache>
                <c:formatCode>_(* #,##0_);_(* \(#,##0\);_(* "-"??_);_(@_)</c:formatCode>
                <c:ptCount val="4"/>
                <c:pt idx="0">
                  <c:v>42225.006999999998</c:v>
                </c:pt>
                <c:pt idx="1">
                  <c:v>34507.072</c:v>
                </c:pt>
                <c:pt idx="2">
                  <c:v>50894.336000000003</c:v>
                </c:pt>
                <c:pt idx="3">
                  <c:v>40825.438800000004</c:v>
                </c:pt>
              </c:numCache>
            </c:numRef>
          </c:val>
          <c:extLst>
            <c:ext xmlns:c16="http://schemas.microsoft.com/office/drawing/2014/chart" uri="{C3380CC4-5D6E-409C-BE32-E72D297353CC}">
              <c16:uniqueId val="{00000003-3808-42F4-8060-38EA8BD20717}"/>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[Book1.xlsx]SMART Quiestion!sales by regoin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'SMART Quiestion'!$AI$18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Quiestion'!$AH$19:$AH$23</c:f>
              <c:strCache>
                <c:ptCount val="4"/>
                <c:pt idx="0">
                  <c:v>South</c:v>
                </c:pt>
                <c:pt idx="1">
                  <c:v>Central</c:v>
                </c:pt>
                <c:pt idx="2">
                  <c:v>West</c:v>
                </c:pt>
                <c:pt idx="3">
                  <c:v>East</c:v>
                </c:pt>
              </c:strCache>
            </c:strRef>
          </c:cat>
          <c:val>
            <c:numRef>
              <c:f>'SMART Quiestion'!$AI$19:$AI$23</c:f>
              <c:numCache>
                <c:formatCode>_(* #,##0_);_(* \(#,##0\);_(* "-"??_);_(@_)</c:formatCode>
                <c:ptCount val="4"/>
                <c:pt idx="0">
                  <c:v>34507.072</c:v>
                </c:pt>
                <c:pt idx="1">
                  <c:v>40825.438800000004</c:v>
                </c:pt>
                <c:pt idx="2">
                  <c:v>42225.006999999998</c:v>
                </c:pt>
                <c:pt idx="3">
                  <c:v>50894.336000000003</c:v>
                </c:pt>
              </c:numCache>
            </c:numRef>
          </c:val>
          <c:smooth val="0"/>
          <c:extLst>
            <c:ext xmlns:c16="http://schemas.microsoft.com/office/drawing/2014/chart" uri="{C3380CC4-5D6E-409C-BE32-E72D297353CC}">
              <c16:uniqueId val="{00000000-BFC2-4E9B-BB10-58829E47E17C}"/>
            </c:ext>
          </c:extLst>
        </c:ser>
        <c:dLbls>
          <c:dLblPos val="t"/>
          <c:showLegendKey val="0"/>
          <c:showVal val="1"/>
          <c:showCatName val="0"/>
          <c:showSerName val="0"/>
          <c:showPercent val="0"/>
          <c:showBubbleSize val="0"/>
        </c:dLbls>
        <c:smooth val="0"/>
        <c:axId val="737248815"/>
        <c:axId val="737252775"/>
      </c:lineChart>
      <c:catAx>
        <c:axId val="737248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52775"/>
        <c:crosses val="autoZero"/>
        <c:auto val="1"/>
        <c:lblAlgn val="ctr"/>
        <c:lblOffset val="100"/>
        <c:noMultiLvlLbl val="0"/>
      </c:catAx>
      <c:valAx>
        <c:axId val="7372527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4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[Book1.xlsx]SMART Quiestion!count of quantity by person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Quantity By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Quiestion'!$AP$18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Quiestion'!$AO$19:$AO$23</c:f>
              <c:strCache>
                <c:ptCount val="4"/>
                <c:pt idx="0">
                  <c:v>Anna Andreadi</c:v>
                </c:pt>
                <c:pt idx="1">
                  <c:v>Chuck Magee</c:v>
                </c:pt>
                <c:pt idx="2">
                  <c:v>Kelly Williams</c:v>
                </c:pt>
                <c:pt idx="3">
                  <c:v>Cassandra Brandow</c:v>
                </c:pt>
              </c:strCache>
            </c:strRef>
          </c:cat>
          <c:val>
            <c:numRef>
              <c:f>'SMART Quiestion'!$AP$19:$AP$23</c:f>
              <c:numCache>
                <c:formatCode>General</c:formatCode>
                <c:ptCount val="4"/>
                <c:pt idx="0">
                  <c:v>901</c:v>
                </c:pt>
                <c:pt idx="1">
                  <c:v>781</c:v>
                </c:pt>
                <c:pt idx="2">
                  <c:v>715</c:v>
                </c:pt>
                <c:pt idx="3">
                  <c:v>480</c:v>
                </c:pt>
              </c:numCache>
            </c:numRef>
          </c:val>
          <c:extLst>
            <c:ext xmlns:c16="http://schemas.microsoft.com/office/drawing/2014/chart" uri="{C3380CC4-5D6E-409C-BE32-E72D297353CC}">
              <c16:uniqueId val="{00000002-C950-48AB-846B-195651E0A391}"/>
            </c:ext>
          </c:extLst>
        </c:ser>
        <c:dLbls>
          <c:dLblPos val="outEnd"/>
          <c:showLegendKey val="0"/>
          <c:showVal val="1"/>
          <c:showCatName val="0"/>
          <c:showSerName val="0"/>
          <c:showPercent val="0"/>
          <c:showBubbleSize val="0"/>
        </c:dLbls>
        <c:gapWidth val="219"/>
        <c:overlap val="-27"/>
        <c:axId val="741800055"/>
        <c:axId val="741807255"/>
      </c:barChart>
      <c:catAx>
        <c:axId val="741800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807255"/>
        <c:crosses val="autoZero"/>
        <c:auto val="1"/>
        <c:lblAlgn val="ctr"/>
        <c:lblOffset val="100"/>
        <c:noMultiLvlLbl val="0"/>
      </c:catAx>
      <c:valAx>
        <c:axId val="741807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800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[Book1.xlsx]SMART Quiestion!Top 10 Cities By 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'SMART Quiestion'!$G$17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Quiestion'!$F$18:$F$28</c:f>
              <c:strCache>
                <c:ptCount val="10"/>
                <c:pt idx="0">
                  <c:v>Jackson</c:v>
                </c:pt>
                <c:pt idx="1">
                  <c:v>Jamestown</c:v>
                </c:pt>
                <c:pt idx="2">
                  <c:v>Chicago</c:v>
                </c:pt>
                <c:pt idx="3">
                  <c:v>Houston</c:v>
                </c:pt>
                <c:pt idx="4">
                  <c:v>Seattle</c:v>
                </c:pt>
                <c:pt idx="5">
                  <c:v>San Francisco</c:v>
                </c:pt>
                <c:pt idx="6">
                  <c:v>Philadelphia</c:v>
                </c:pt>
                <c:pt idx="7">
                  <c:v>Burlington</c:v>
                </c:pt>
                <c:pt idx="8">
                  <c:v>Los Angeles</c:v>
                </c:pt>
                <c:pt idx="9">
                  <c:v>New York City</c:v>
                </c:pt>
              </c:strCache>
            </c:strRef>
          </c:cat>
          <c:val>
            <c:numRef>
              <c:f>'SMART Quiestion'!$G$18:$G$28</c:f>
              <c:numCache>
                <c:formatCode>_(* #,##0_);_(* \(#,##0\);_(* "-"??_);_(@_)</c:formatCode>
                <c:ptCount val="10"/>
                <c:pt idx="0">
                  <c:v>4059.212</c:v>
                </c:pt>
                <c:pt idx="1">
                  <c:v>4548.8100000000004</c:v>
                </c:pt>
                <c:pt idx="2">
                  <c:v>5075.652</c:v>
                </c:pt>
                <c:pt idx="3">
                  <c:v>6445.8540000000003</c:v>
                </c:pt>
                <c:pt idx="4">
                  <c:v>6768.7219999999998</c:v>
                </c:pt>
                <c:pt idx="5">
                  <c:v>7340.7370000000001</c:v>
                </c:pt>
                <c:pt idx="6">
                  <c:v>7370.4040000000005</c:v>
                </c:pt>
                <c:pt idx="7">
                  <c:v>8040.78</c:v>
                </c:pt>
                <c:pt idx="8">
                  <c:v>10243.800999999999</c:v>
                </c:pt>
                <c:pt idx="9">
                  <c:v>21350.361000000001</c:v>
                </c:pt>
              </c:numCache>
            </c:numRef>
          </c:val>
          <c:extLst>
            <c:ext xmlns:c16="http://schemas.microsoft.com/office/drawing/2014/chart" uri="{C3380CC4-5D6E-409C-BE32-E72D297353CC}">
              <c16:uniqueId val="{00000003-38E5-4F68-9BE0-A7537E3A93E5}"/>
            </c:ext>
          </c:extLst>
        </c:ser>
        <c:dLbls>
          <c:dLblPos val="outEnd"/>
          <c:showLegendKey val="0"/>
          <c:showVal val="1"/>
          <c:showCatName val="0"/>
          <c:showSerName val="0"/>
          <c:showPercent val="0"/>
          <c:showBubbleSize val="0"/>
        </c:dLbls>
        <c:gapWidth val="182"/>
        <c:axId val="1331786320"/>
        <c:axId val="1331787040"/>
      </c:barChart>
      <c:catAx>
        <c:axId val="1331786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87040"/>
        <c:crosses val="autoZero"/>
        <c:auto val="1"/>
        <c:lblAlgn val="ctr"/>
        <c:lblOffset val="100"/>
        <c:noMultiLvlLbl val="0"/>
      </c:catAx>
      <c:valAx>
        <c:axId val="1331787040"/>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crossAx val="133178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[Book1.xlsx]SMART Quiestion!Sales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'SMART Quiestion'!$L$18</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FC37-4EAA-A688-7E0BDD981240}"/>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C37-4EAA-A688-7E0BDD981240}"/>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FC37-4EAA-A688-7E0BDD9812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'SMART Quiestion'!$K$19:$K$22</c:f>
              <c:strCache>
                <c:ptCount val="3"/>
                <c:pt idx="0">
                  <c:v>Furniture</c:v>
                </c:pt>
                <c:pt idx="1">
                  <c:v>Office Supplies</c:v>
                </c:pt>
                <c:pt idx="2">
                  <c:v>Technology</c:v>
                </c:pt>
              </c:strCache>
            </c:strRef>
          </c:cat>
          <c:val>
            <c:numRef>
              <c:f>'SMART Quiestion'!$L$19:$L$22</c:f>
              <c:numCache>
                <c:formatCode>_(* #,##0_);_(* \(#,##0\);_(* "-"??_);_(@_)</c:formatCode>
                <c:ptCount val="3"/>
                <c:pt idx="0">
                  <c:v>53148.097800000003</c:v>
                </c:pt>
                <c:pt idx="1">
                  <c:v>45556.807000000001</c:v>
                </c:pt>
                <c:pt idx="2">
                  <c:v>69746.948999999993</c:v>
                </c:pt>
              </c:numCache>
            </c:numRef>
          </c:val>
          <c:extLst>
            <c:ext xmlns:c16="http://schemas.microsoft.com/office/drawing/2014/chart" uri="{C3380CC4-5D6E-409C-BE32-E72D297353CC}">
              <c16:uniqueId val="{00000009-A56D-4D81-82FB-4CA1AA6EBA6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[Book1.xlsx]SMART Quiestion!top 10 states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a:t>
            </a:r>
            <a:r>
              <a:rPr lang="en-US" baseline="0"/>
              <a:t>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Quiestion'!$Q$18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Quiestion'!$P$19:$P$29</c:f>
              <c:strCache>
                <c:ptCount val="10"/>
                <c:pt idx="0">
                  <c:v>Illinois</c:v>
                </c:pt>
                <c:pt idx="1">
                  <c:v>Texas</c:v>
                </c:pt>
                <c:pt idx="2">
                  <c:v>California</c:v>
                </c:pt>
                <c:pt idx="3">
                  <c:v>Florida</c:v>
                </c:pt>
                <c:pt idx="4">
                  <c:v>New York</c:v>
                </c:pt>
                <c:pt idx="5">
                  <c:v>North Carolina</c:v>
                </c:pt>
                <c:pt idx="6">
                  <c:v>Ohio</c:v>
                </c:pt>
                <c:pt idx="7">
                  <c:v>Pennsylvania</c:v>
                </c:pt>
                <c:pt idx="8">
                  <c:v>Minnesota</c:v>
                </c:pt>
                <c:pt idx="9">
                  <c:v>Washington</c:v>
                </c:pt>
              </c:strCache>
            </c:strRef>
          </c:cat>
          <c:val>
            <c:numRef>
              <c:f>'SMART Quiestion'!$Q$19:$Q$29</c:f>
              <c:numCache>
                <c:formatCode>_(* #,##0_);_(* \(#,##0\);_(* "-"??_);_(@_)</c:formatCode>
                <c:ptCount val="10"/>
                <c:pt idx="0">
                  <c:v>8604.7819999999992</c:v>
                </c:pt>
                <c:pt idx="1">
                  <c:v>13575.3208</c:v>
                </c:pt>
                <c:pt idx="2">
                  <c:v>25759.093000000001</c:v>
                </c:pt>
                <c:pt idx="3">
                  <c:v>5844.5339999999997</c:v>
                </c:pt>
                <c:pt idx="4">
                  <c:v>29377.546999999999</c:v>
                </c:pt>
                <c:pt idx="5">
                  <c:v>12997.81</c:v>
                </c:pt>
                <c:pt idx="6">
                  <c:v>6168.3869999999997</c:v>
                </c:pt>
                <c:pt idx="7">
                  <c:v>7788.8919999999998</c:v>
                </c:pt>
                <c:pt idx="8">
                  <c:v>4526.28</c:v>
                </c:pt>
                <c:pt idx="9">
                  <c:v>7519.3739999999998</c:v>
                </c:pt>
              </c:numCache>
            </c:numRef>
          </c:val>
          <c:extLst>
            <c:ext xmlns:c16="http://schemas.microsoft.com/office/drawing/2014/chart" uri="{C3380CC4-5D6E-409C-BE32-E72D297353CC}">
              <c16:uniqueId val="{00000003-1631-4E06-850A-053B3C42ED1F}"/>
            </c:ext>
          </c:extLst>
        </c:ser>
        <c:dLbls>
          <c:dLblPos val="outEnd"/>
          <c:showLegendKey val="0"/>
          <c:showVal val="1"/>
          <c:showCatName val="0"/>
          <c:showSerName val="0"/>
          <c:showPercent val="0"/>
          <c:showBubbleSize val="0"/>
        </c:dLbls>
        <c:gapWidth val="219"/>
        <c:overlap val="-27"/>
        <c:axId val="1411786088"/>
        <c:axId val="1411787168"/>
      </c:barChart>
      <c:catAx>
        <c:axId val="1411786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787168"/>
        <c:crosses val="autoZero"/>
        <c:auto val="1"/>
        <c:lblAlgn val="ctr"/>
        <c:lblOffset val="100"/>
        <c:noMultiLvlLbl val="0"/>
      </c:catAx>
      <c:valAx>
        <c:axId val="1411787168"/>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crossAx val="1411786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[Book1.xlsx]SMART Quiestion!Sales By Persons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Persons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58000"/>
            </a:schemeClr>
          </a:solidFill>
          <a:ln w="25400">
            <a:solidFill>
              <a:schemeClr val="lt1"/>
            </a:solidFill>
          </a:ln>
          <a:effectLst/>
          <a:sp3d contourW="25400">
            <a:contourClr>
              <a:schemeClr val="lt1"/>
            </a:contourClr>
          </a:sp3d>
        </c:spPr>
      </c:pivotFmt>
      <c:pivotFmt>
        <c:idx val="8"/>
        <c:spPr>
          <a:solidFill>
            <a:schemeClr val="accent1">
              <a:shade val="86000"/>
            </a:schemeClr>
          </a:solidFill>
          <a:ln w="25400">
            <a:solidFill>
              <a:schemeClr val="lt1"/>
            </a:solidFill>
          </a:ln>
          <a:effectLst/>
          <a:sp3d contourW="25400">
            <a:contourClr>
              <a:schemeClr val="lt1"/>
            </a:contourClr>
          </a:sp3d>
        </c:spPr>
      </c:pivotFmt>
      <c:pivotFmt>
        <c:idx val="9"/>
        <c:spPr>
          <a:solidFill>
            <a:schemeClr val="accent1">
              <a:tint val="86000"/>
            </a:schemeClr>
          </a:solidFill>
          <a:ln w="25400">
            <a:solidFill>
              <a:schemeClr val="lt1"/>
            </a:solidFill>
          </a:ln>
          <a:effectLst/>
          <a:sp3d contourW="25400">
            <a:contourClr>
              <a:schemeClr val="lt1"/>
            </a:contourClr>
          </a:sp3d>
        </c:spPr>
      </c:pivotFmt>
      <c:pivotFmt>
        <c:idx val="10"/>
        <c:spPr>
          <a:solidFill>
            <a:schemeClr val="accent1">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'SMART Quiestion'!$W$18</c:f>
              <c:strCache>
                <c:ptCount val="1"/>
                <c:pt idx="0">
                  <c:v>Total</c:v>
                </c:pt>
              </c:strCache>
            </c:strRef>
          </c:tx>
          <c:dPt>
            <c:idx val="0"/>
            <c:bubble3D val="0"/>
            <c:spPr>
              <a:solidFill>
                <a:schemeClr val="accent1">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2F6-481B-91A6-4ADA8760AEBF}"/>
              </c:ext>
            </c:extLst>
          </c:dPt>
          <c:dPt>
            <c:idx val="1"/>
            <c:bubble3D val="0"/>
            <c:spPr>
              <a:solidFill>
                <a:schemeClr val="accent1">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12F6-481B-91A6-4ADA8760AEBF}"/>
              </c:ext>
            </c:extLst>
          </c:dPt>
          <c:dPt>
            <c:idx val="2"/>
            <c:bubble3D val="0"/>
            <c:spPr>
              <a:solidFill>
                <a:schemeClr val="accent1">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2F6-481B-91A6-4ADA8760AEBF}"/>
              </c:ext>
            </c:extLst>
          </c:dPt>
          <c:dPt>
            <c:idx val="3"/>
            <c:bubble3D val="0"/>
            <c:spPr>
              <a:solidFill>
                <a:schemeClr val="accent1">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12F6-481B-91A6-4ADA8760AE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'SMART Quiestion'!$V$19:$V$23</c:f>
              <c:strCache>
                <c:ptCount val="4"/>
                <c:pt idx="0">
                  <c:v>Anna Andreadi</c:v>
                </c:pt>
                <c:pt idx="1">
                  <c:v>Cassandra Brandow</c:v>
                </c:pt>
                <c:pt idx="2">
                  <c:v>Chuck Magee</c:v>
                </c:pt>
                <c:pt idx="3">
                  <c:v>Kelly Williams</c:v>
                </c:pt>
              </c:strCache>
            </c:strRef>
          </c:cat>
          <c:val>
            <c:numRef>
              <c:f>'SMART Quiestion'!$W$19:$W$23</c:f>
              <c:numCache>
                <c:formatCode>_(* #,##0_);_(* \(#,##0\);_(* "-"??_);_(@_)</c:formatCode>
                <c:ptCount val="4"/>
                <c:pt idx="0">
                  <c:v>42225.006999999998</c:v>
                </c:pt>
                <c:pt idx="1">
                  <c:v>34507.072</c:v>
                </c:pt>
                <c:pt idx="2">
                  <c:v>50894.336000000003</c:v>
                </c:pt>
                <c:pt idx="3">
                  <c:v>40825.438800000004</c:v>
                </c:pt>
              </c:numCache>
            </c:numRef>
          </c:val>
          <c:extLst>
            <c:ext xmlns:c16="http://schemas.microsoft.com/office/drawing/2014/chart" uri="{C3380CC4-5D6E-409C-BE32-E72D297353CC}">
              <c16:uniqueId val="{0000000B-9715-484F-B0DF-02678042898A}"/>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[Book1.xlsx]SMART Quiestion!sales by regoin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'SMART Quiestion'!$AI$18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Quiestion'!$AH$19:$AH$23</c:f>
              <c:strCache>
                <c:ptCount val="4"/>
                <c:pt idx="0">
                  <c:v>South</c:v>
                </c:pt>
                <c:pt idx="1">
                  <c:v>Central</c:v>
                </c:pt>
                <c:pt idx="2">
                  <c:v>West</c:v>
                </c:pt>
                <c:pt idx="3">
                  <c:v>East</c:v>
                </c:pt>
              </c:strCache>
            </c:strRef>
          </c:cat>
          <c:val>
            <c:numRef>
              <c:f>'SMART Quiestion'!$AI$19:$AI$23</c:f>
              <c:numCache>
                <c:formatCode>_(* #,##0_);_(* \(#,##0\);_(* "-"??_);_(@_)</c:formatCode>
                <c:ptCount val="4"/>
                <c:pt idx="0">
                  <c:v>34507.072</c:v>
                </c:pt>
                <c:pt idx="1">
                  <c:v>40825.438800000004</c:v>
                </c:pt>
                <c:pt idx="2">
                  <c:v>42225.006999999998</c:v>
                </c:pt>
                <c:pt idx="3">
                  <c:v>50894.336000000003</c:v>
                </c:pt>
              </c:numCache>
            </c:numRef>
          </c:val>
          <c:extLst>
            <c:ext xmlns:c16="http://schemas.microsoft.com/office/drawing/2014/chart" uri="{C3380CC4-5D6E-409C-BE32-E72D297353CC}">
              <c16:uniqueId val="{00000000-AD20-44DC-931F-BFF0DFBF6B94}"/>
            </c:ext>
          </c:extLst>
        </c:ser>
        <c:dLbls>
          <c:showLegendKey val="0"/>
          <c:showVal val="1"/>
          <c:showCatName val="0"/>
          <c:showSerName val="0"/>
          <c:showPercent val="0"/>
          <c:showBubbleSize val="0"/>
        </c:dLbls>
        <c:gapWidth val="150"/>
        <c:axId val="737248815"/>
        <c:axId val="737252775"/>
      </c:barChart>
      <c:catAx>
        <c:axId val="7372488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52775"/>
        <c:crosses val="autoZero"/>
        <c:auto val="1"/>
        <c:lblAlgn val="ctr"/>
        <c:lblOffset val="100"/>
        <c:noMultiLvlLbl val="0"/>
      </c:catAx>
      <c:valAx>
        <c:axId val="737252775"/>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24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[Book1.xlsx]SMART Quiestion!count of quantity by person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Quantity By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Quiestion'!$AP$18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Quiestion'!$AO$19:$AO$23</c:f>
              <c:strCache>
                <c:ptCount val="4"/>
                <c:pt idx="0">
                  <c:v>Anna Andreadi</c:v>
                </c:pt>
                <c:pt idx="1">
                  <c:v>Chuck Magee</c:v>
                </c:pt>
                <c:pt idx="2">
                  <c:v>Kelly Williams</c:v>
                </c:pt>
                <c:pt idx="3">
                  <c:v>Cassandra Brandow</c:v>
                </c:pt>
              </c:strCache>
            </c:strRef>
          </c:cat>
          <c:val>
            <c:numRef>
              <c:f>'SMART Quiestion'!$AP$19:$AP$23</c:f>
              <c:numCache>
                <c:formatCode>General</c:formatCode>
                <c:ptCount val="4"/>
                <c:pt idx="0">
                  <c:v>901</c:v>
                </c:pt>
                <c:pt idx="1">
                  <c:v>781</c:v>
                </c:pt>
                <c:pt idx="2">
                  <c:v>715</c:v>
                </c:pt>
                <c:pt idx="3">
                  <c:v>480</c:v>
                </c:pt>
              </c:numCache>
            </c:numRef>
          </c:val>
          <c:extLst>
            <c:ext xmlns:c16="http://schemas.microsoft.com/office/drawing/2014/chart" uri="{C3380CC4-5D6E-409C-BE32-E72D297353CC}">
              <c16:uniqueId val="{00000001-DA4A-42CB-8897-68CE65ACC8EF}"/>
            </c:ext>
          </c:extLst>
        </c:ser>
        <c:dLbls>
          <c:dLblPos val="outEnd"/>
          <c:showLegendKey val="0"/>
          <c:showVal val="1"/>
          <c:showCatName val="0"/>
          <c:showSerName val="0"/>
          <c:showPercent val="0"/>
          <c:showBubbleSize val="0"/>
        </c:dLbls>
        <c:gapWidth val="219"/>
        <c:overlap val="-27"/>
        <c:axId val="741800055"/>
        <c:axId val="741807255"/>
      </c:barChart>
      <c:catAx>
        <c:axId val="741800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807255"/>
        <c:crosses val="autoZero"/>
        <c:auto val="1"/>
        <c:lblAlgn val="ctr"/>
        <c:lblOffset val="100"/>
        <c:noMultiLvlLbl val="0"/>
      </c:catAx>
      <c:valAx>
        <c:axId val="741807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800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487680</xdr:colOff>
      <xdr:row>29</xdr:row>
      <xdr:rowOff>0</xdr:rowOff>
    </xdr:from>
    <xdr:to>
      <xdr:col>8</xdr:col>
      <xdr:colOff>281940</xdr:colOff>
      <xdr:row>44</xdr:row>
      <xdr:rowOff>0</xdr:rowOff>
    </xdr:to>
    <xdr:graphicFrame macro="">
      <xdr:nvGraphicFramePr>
        <xdr:cNvPr id="2" name="Chart 1">
          <a:extLst>
            <a:ext uri="{FF2B5EF4-FFF2-40B4-BE49-F238E27FC236}">
              <a16:creationId xmlns:a16="http://schemas.microsoft.com/office/drawing/2014/main" id="{7E6636AD-7D71-4392-CE2E-2EF7CC025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198120</xdr:colOff>
      <xdr:row>30</xdr:row>
      <xdr:rowOff>22860</xdr:rowOff>
    </xdr:from>
    <xdr:to>
      <xdr:col>12</xdr:col>
      <xdr:colOff>175260</xdr:colOff>
      <xdr:row>42</xdr:row>
      <xdr:rowOff>22860</xdr:rowOff>
    </xdr:to>
    <xdr:graphicFrame macro="">
      <xdr:nvGraphicFramePr>
        <xdr:cNvPr id="3" name="Chart 2">
          <a:extLst>
            <a:ext uri="{FF2B5EF4-FFF2-40B4-BE49-F238E27FC236}">
              <a16:creationId xmlns:a16="http://schemas.microsoft.com/office/drawing/2014/main" id="{C5DB11EF-2D50-1BC5-D26C-3319A98A5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381000</xdr:colOff>
      <xdr:row>30</xdr:row>
      <xdr:rowOff>167640</xdr:rowOff>
    </xdr:from>
    <xdr:to>
      <xdr:col>19</xdr:col>
      <xdr:colOff>449580</xdr:colOff>
      <xdr:row>45</xdr:row>
      <xdr:rowOff>167640</xdr:rowOff>
    </xdr:to>
    <xdr:graphicFrame macro="">
      <xdr:nvGraphicFramePr>
        <xdr:cNvPr id="4" name="Chart 3">
          <a:extLst>
            <a:ext uri="{FF2B5EF4-FFF2-40B4-BE49-F238E27FC236}">
              <a16:creationId xmlns:a16="http://schemas.microsoft.com/office/drawing/2014/main" id="{F7C45052-3A85-5927-E40A-B021048A0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358140</xdr:colOff>
      <xdr:row>24</xdr:row>
      <xdr:rowOff>167640</xdr:rowOff>
    </xdr:from>
    <xdr:to>
      <xdr:col>24</xdr:col>
      <xdr:colOff>426720</xdr:colOff>
      <xdr:row>35</xdr:row>
      <xdr:rowOff>144780</xdr:rowOff>
    </xdr:to>
    <xdr:graphicFrame macro="">
      <xdr:nvGraphicFramePr>
        <xdr:cNvPr id="5" name="Chart 4">
          <a:extLst>
            <a:ext uri="{FF2B5EF4-FFF2-40B4-BE49-F238E27FC236}">
              <a16:creationId xmlns:a16="http://schemas.microsoft.com/office/drawing/2014/main" id="{4BE32BBB-9776-782D-52F3-EEBEF8E1E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510540</xdr:colOff>
      <xdr:row>24</xdr:row>
      <xdr:rowOff>129540</xdr:rowOff>
    </xdr:from>
    <xdr:to>
      <xdr:col>36</xdr:col>
      <xdr:colOff>358140</xdr:colOff>
      <xdr:row>39</xdr:row>
      <xdr:rowOff>129540</xdr:rowOff>
    </xdr:to>
    <xdr:graphicFrame macro="">
      <xdr:nvGraphicFramePr>
        <xdr:cNvPr id="6" name="Chart 5">
          <a:extLst>
            <a:ext uri="{FF2B5EF4-FFF2-40B4-BE49-F238E27FC236}">
              <a16:creationId xmlns:a16="http://schemas.microsoft.com/office/drawing/2014/main" id="{184EF669-8897-68B8-0826-B89DDDB0B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426720</xdr:colOff>
      <xdr:row>26</xdr:row>
      <xdr:rowOff>0</xdr:rowOff>
    </xdr:from>
    <xdr:to>
      <xdr:col>41</xdr:col>
      <xdr:colOff>876300</xdr:colOff>
      <xdr:row>38</xdr:row>
      <xdr:rowOff>152400</xdr:rowOff>
    </xdr:to>
    <xdr:graphicFrame macro="">
      <xdr:nvGraphicFramePr>
        <xdr:cNvPr id="7" name="Chart 6">
          <a:extLst>
            <a:ext uri="{FF2B5EF4-FFF2-40B4-BE49-F238E27FC236}">
              <a16:creationId xmlns:a16="http://schemas.microsoft.com/office/drawing/2014/main" id="{97D1BB4D-608C-9EE3-5D4F-DB177C50A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240030</xdr:colOff>
      <xdr:row>3</xdr:row>
      <xdr:rowOff>38100</xdr:rowOff>
    </xdr:from>
    <xdr:to>
      <xdr:col>11</xdr:col>
      <xdr:colOff>270510</xdr:colOff>
      <xdr:row>6</xdr:row>
      <xdr:rowOff>76200</xdr:rowOff>
    </xdr:to>
    <xdr:sp macro="" textlink="">
      <xdr:nvSpPr>
        <xdr:cNvPr id="34" name="Rectangle 33">
          <a:extLst>
            <a:ext uri="{FF2B5EF4-FFF2-40B4-BE49-F238E27FC236}">
              <a16:creationId xmlns:a16="http://schemas.microsoft.com/office/drawing/2014/main" id="{D2C000CF-EC0D-4F1C-9AA8-D7607978B1AE}"/>
            </a:ext>
          </a:extLst>
        </xdr:cNvPr>
        <xdr:cNvSpPr/>
      </xdr:nvSpPr>
      <xdr:spPr>
        <a:xfrm>
          <a:off x="480060" y="586740"/>
          <a:ext cx="13472160" cy="586740"/>
        </a:xfrm>
        <a:prstGeom prst="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accent3"/>
              </a:solidFill>
            </a:rPr>
            <a:t>SALES</a:t>
          </a:r>
          <a:r>
            <a:rPr lang="en-US" sz="3200" baseline="0">
              <a:solidFill>
                <a:schemeClr val="accent3"/>
              </a:solidFill>
            </a:rPr>
            <a:t> DASHBOARD</a:t>
          </a:r>
          <a:endParaRPr lang="en-US" sz="3200">
            <a:solidFill>
              <a:schemeClr val="accent3"/>
            </a:solidFill>
          </a:endParaRPr>
        </a:p>
      </xdr:txBody>
    </xdr:sp>
    <xdr:clientData/>
  </xdr:twoCellAnchor>
  <xdr:twoCellAnchor>
    <xdr:from>
      <xdr:col>0</xdr:col>
      <xdr:colOff>137160</xdr:colOff>
      <xdr:row>13</xdr:row>
      <xdr:rowOff>172522</xdr:rowOff>
    </xdr:from>
    <xdr:to>
      <xdr:col>3</xdr:col>
      <xdr:colOff>251460</xdr:colOff>
      <xdr:row>27</xdr:row>
      <xdr:rowOff>99060</xdr:rowOff>
    </xdr:to>
    <xdr:graphicFrame macro="">
      <xdr:nvGraphicFramePr>
        <xdr:cNvPr id="36" name="Chart 35">
          <a:extLst>
            <a:ext uri="{FF2B5EF4-FFF2-40B4-BE49-F238E27FC236}">
              <a16:creationId xmlns:a16="http://schemas.microsoft.com/office/drawing/2014/main" id="{96A86643-BD82-47AA-AA74-1D689E4BD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335280</xdr:colOff>
      <xdr:row>13</xdr:row>
      <xdr:rowOff>175260</xdr:rowOff>
    </xdr:from>
    <xdr:to>
      <xdr:col>6</xdr:col>
      <xdr:colOff>449580</xdr:colOff>
      <xdr:row>27</xdr:row>
      <xdr:rowOff>102108</xdr:rowOff>
    </xdr:to>
    <xdr:graphicFrame macro="">
      <xdr:nvGraphicFramePr>
        <xdr:cNvPr id="37" name="Chart 36">
          <a:extLst>
            <a:ext uri="{FF2B5EF4-FFF2-40B4-BE49-F238E27FC236}">
              <a16:creationId xmlns:a16="http://schemas.microsoft.com/office/drawing/2014/main" id="{6C94C742-1839-460E-864C-DD3903259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137160</xdr:colOff>
      <xdr:row>29</xdr:row>
      <xdr:rowOff>4882</xdr:rowOff>
    </xdr:from>
    <xdr:to>
      <xdr:col>3</xdr:col>
      <xdr:colOff>251460</xdr:colOff>
      <xdr:row>42</xdr:row>
      <xdr:rowOff>114610</xdr:rowOff>
    </xdr:to>
    <xdr:graphicFrame macro="">
      <xdr:nvGraphicFramePr>
        <xdr:cNvPr id="38" name="Chart 37">
          <a:extLst>
            <a:ext uri="{FF2B5EF4-FFF2-40B4-BE49-F238E27FC236}">
              <a16:creationId xmlns:a16="http://schemas.microsoft.com/office/drawing/2014/main" id="{97C1C322-BD5C-4CA4-8D7D-9C263CE0A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541020</xdr:colOff>
      <xdr:row>29</xdr:row>
      <xdr:rowOff>7620</xdr:rowOff>
    </xdr:from>
    <xdr:to>
      <xdr:col>10</xdr:col>
      <xdr:colOff>45720</xdr:colOff>
      <xdr:row>42</xdr:row>
      <xdr:rowOff>117348</xdr:rowOff>
    </xdr:to>
    <xdr:graphicFrame macro="">
      <xdr:nvGraphicFramePr>
        <xdr:cNvPr id="39" name="Chart 38">
          <a:extLst>
            <a:ext uri="{FF2B5EF4-FFF2-40B4-BE49-F238E27FC236}">
              <a16:creationId xmlns:a16="http://schemas.microsoft.com/office/drawing/2014/main" id="{65FFD06F-05DD-4A94-8287-50A7B3272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342900</xdr:colOff>
      <xdr:row>29</xdr:row>
      <xdr:rowOff>7620</xdr:rowOff>
    </xdr:from>
    <xdr:to>
      <xdr:col>6</xdr:col>
      <xdr:colOff>457200</xdr:colOff>
      <xdr:row>42</xdr:row>
      <xdr:rowOff>117348</xdr:rowOff>
    </xdr:to>
    <xdr:graphicFrame macro="">
      <xdr:nvGraphicFramePr>
        <xdr:cNvPr id="40" name="Chart 39">
          <a:extLst>
            <a:ext uri="{FF2B5EF4-FFF2-40B4-BE49-F238E27FC236}">
              <a16:creationId xmlns:a16="http://schemas.microsoft.com/office/drawing/2014/main" id="{54F27D5F-0935-4936-879E-BD59C6CA6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537210</xdr:colOff>
      <xdr:row>13</xdr:row>
      <xdr:rowOff>175260</xdr:rowOff>
    </xdr:from>
    <xdr:to>
      <xdr:col>10</xdr:col>
      <xdr:colOff>41910</xdr:colOff>
      <xdr:row>27</xdr:row>
      <xdr:rowOff>102108</xdr:rowOff>
    </xdr:to>
    <xdr:graphicFrame macro="">
      <xdr:nvGraphicFramePr>
        <xdr:cNvPr id="41" name="Chart 40">
          <a:extLst>
            <a:ext uri="{FF2B5EF4-FFF2-40B4-BE49-F238E27FC236}">
              <a16:creationId xmlns:a16="http://schemas.microsoft.com/office/drawing/2014/main" id="{F1C400BD-B060-45F3-A4C2-F53D2202C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560070</xdr:colOff>
      <xdr:row>9</xdr:row>
      <xdr:rowOff>91440</xdr:rowOff>
    </xdr:from>
    <xdr:to>
      <xdr:col>1</xdr:col>
      <xdr:colOff>590550</xdr:colOff>
      <xdr:row>11</xdr:row>
      <xdr:rowOff>53340</xdr:rowOff>
    </xdr:to>
    <xdr:sp macro="" textlink="">
      <xdr:nvSpPr>
        <xdr:cNvPr id="42" name="TextBox 41">
          <a:extLst>
            <a:ext uri="{FF2B5EF4-FFF2-40B4-BE49-F238E27FC236}">
              <a16:creationId xmlns:a16="http://schemas.microsoft.com/office/drawing/2014/main" id="{1BA0E661-34DC-0E8F-C0FB-CFA99E19EF9F}"/>
            </a:ext>
          </a:extLst>
        </xdr:cNvPr>
        <xdr:cNvSpPr txBox="1"/>
      </xdr:nvSpPr>
      <xdr:spPr>
        <a:xfrm>
          <a:off x="1120140" y="1737360"/>
          <a:ext cx="12801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Sales</a:t>
          </a:r>
          <a:endParaRPr lang="en-US" sz="1600" b="1"/>
        </a:p>
      </xdr:txBody>
    </xdr:sp>
    <xdr:clientData/>
  </xdr:twoCellAnchor>
  <xdr:twoCellAnchor>
    <xdr:from>
      <xdr:col>2</xdr:col>
      <xdr:colOff>407670</xdr:colOff>
      <xdr:row>9</xdr:row>
      <xdr:rowOff>91440</xdr:rowOff>
    </xdr:from>
    <xdr:to>
      <xdr:col>3</xdr:col>
      <xdr:colOff>438150</xdr:colOff>
      <xdr:row>11</xdr:row>
      <xdr:rowOff>53340</xdr:rowOff>
    </xdr:to>
    <xdr:sp macro="" textlink="">
      <xdr:nvSpPr>
        <xdr:cNvPr id="45" name="TextBox 44">
          <a:extLst>
            <a:ext uri="{FF2B5EF4-FFF2-40B4-BE49-F238E27FC236}">
              <a16:creationId xmlns:a16="http://schemas.microsoft.com/office/drawing/2014/main" id="{07DB9A33-6E55-48D4-8E79-AC25DFBD760C}"/>
            </a:ext>
          </a:extLst>
        </xdr:cNvPr>
        <xdr:cNvSpPr txBox="1"/>
      </xdr:nvSpPr>
      <xdr:spPr>
        <a:xfrm>
          <a:off x="3253740" y="1737360"/>
          <a:ext cx="12801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Returned</a:t>
          </a:r>
        </a:p>
      </xdr:txBody>
    </xdr:sp>
    <xdr:clientData/>
  </xdr:twoCellAnchor>
  <xdr:twoCellAnchor>
    <xdr:from>
      <xdr:col>4</xdr:col>
      <xdr:colOff>274320</xdr:colOff>
      <xdr:row>9</xdr:row>
      <xdr:rowOff>91440</xdr:rowOff>
    </xdr:from>
    <xdr:to>
      <xdr:col>5</xdr:col>
      <xdr:colOff>304800</xdr:colOff>
      <xdr:row>11</xdr:row>
      <xdr:rowOff>53340</xdr:rowOff>
    </xdr:to>
    <xdr:sp macro="" textlink="">
      <xdr:nvSpPr>
        <xdr:cNvPr id="47" name="TextBox 46">
          <a:extLst>
            <a:ext uri="{FF2B5EF4-FFF2-40B4-BE49-F238E27FC236}">
              <a16:creationId xmlns:a16="http://schemas.microsoft.com/office/drawing/2014/main" id="{67E2E555-B2C2-4180-B8C8-D3087146A018}"/>
            </a:ext>
          </a:extLst>
        </xdr:cNvPr>
        <xdr:cNvSpPr txBox="1"/>
      </xdr:nvSpPr>
      <xdr:spPr>
        <a:xfrm>
          <a:off x="5425440" y="1737360"/>
          <a:ext cx="12801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Sales</a:t>
          </a:r>
          <a:endParaRPr lang="en-US" sz="1600" b="1"/>
        </a:p>
      </xdr:txBody>
    </xdr:sp>
    <xdr:clientData/>
  </xdr:twoCellAnchor>
  <xdr:twoCellAnchor>
    <xdr:from>
      <xdr:col>6</xdr:col>
      <xdr:colOff>156210</xdr:colOff>
      <xdr:row>9</xdr:row>
      <xdr:rowOff>99060</xdr:rowOff>
    </xdr:from>
    <xdr:to>
      <xdr:col>7</xdr:col>
      <xdr:colOff>186690</xdr:colOff>
      <xdr:row>11</xdr:row>
      <xdr:rowOff>60960</xdr:rowOff>
    </xdr:to>
    <xdr:sp macro="" textlink="">
      <xdr:nvSpPr>
        <xdr:cNvPr id="49" name="TextBox 48">
          <a:extLst>
            <a:ext uri="{FF2B5EF4-FFF2-40B4-BE49-F238E27FC236}">
              <a16:creationId xmlns:a16="http://schemas.microsoft.com/office/drawing/2014/main" id="{65312226-AD89-4785-89CE-B294F1C14653}"/>
            </a:ext>
          </a:extLst>
        </xdr:cNvPr>
        <xdr:cNvSpPr txBox="1"/>
      </xdr:nvSpPr>
      <xdr:spPr>
        <a:xfrm>
          <a:off x="7627620" y="1744980"/>
          <a:ext cx="12801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Net Sales</a:t>
          </a:r>
        </a:p>
      </xdr:txBody>
    </xdr:sp>
    <xdr:clientData/>
  </xdr:twoCellAnchor>
  <xdr:twoCellAnchor>
    <xdr:from>
      <xdr:col>7</xdr:col>
      <xdr:colOff>548640</xdr:colOff>
      <xdr:row>7</xdr:row>
      <xdr:rowOff>137160</xdr:rowOff>
    </xdr:from>
    <xdr:to>
      <xdr:col>9</xdr:col>
      <xdr:colOff>194310</xdr:colOff>
      <xdr:row>11</xdr:row>
      <xdr:rowOff>144780</xdr:rowOff>
    </xdr:to>
    <xdr:sp macro="" textlink="'SMART Quiestion'!G8">
      <xdr:nvSpPr>
        <xdr:cNvPr id="50" name="Rectangle 49">
          <a:extLst>
            <a:ext uri="{FF2B5EF4-FFF2-40B4-BE49-F238E27FC236}">
              <a16:creationId xmlns:a16="http://schemas.microsoft.com/office/drawing/2014/main" id="{87E9CF70-7D16-4BD9-AF5F-33DEBAC75741}"/>
            </a:ext>
          </a:extLst>
        </xdr:cNvPr>
        <xdr:cNvSpPr/>
      </xdr:nvSpPr>
      <xdr:spPr>
        <a:xfrm>
          <a:off x="9631680" y="1417320"/>
          <a:ext cx="1729740" cy="73914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BC2DB07-11BD-497B-BDC0-5D7991B1CFF6}" type="TxLink">
            <a:rPr lang="en-US" sz="1600" b="1" i="0" u="none" strike="noStrike">
              <a:solidFill>
                <a:schemeClr val="accent3"/>
              </a:solidFill>
              <a:latin typeface="Aptos Narrow"/>
            </a:rPr>
            <a:pPr algn="ctr"/>
            <a:t> 116.22 </a:t>
          </a:fld>
          <a:endParaRPr lang="en-US" sz="2400" b="1">
            <a:solidFill>
              <a:schemeClr val="accent3"/>
            </a:solidFill>
          </a:endParaRPr>
        </a:p>
      </xdr:txBody>
    </xdr:sp>
    <xdr:clientData/>
  </xdr:twoCellAnchor>
  <xdr:twoCellAnchor>
    <xdr:from>
      <xdr:col>8</xdr:col>
      <xdr:colOff>45720</xdr:colOff>
      <xdr:row>8</xdr:row>
      <xdr:rowOff>22860</xdr:rowOff>
    </xdr:from>
    <xdr:to>
      <xdr:col>9</xdr:col>
      <xdr:colOff>76200</xdr:colOff>
      <xdr:row>9</xdr:row>
      <xdr:rowOff>167640</xdr:rowOff>
    </xdr:to>
    <xdr:sp macro="" textlink="">
      <xdr:nvSpPr>
        <xdr:cNvPr id="51" name="TextBox 50">
          <a:extLst>
            <a:ext uri="{FF2B5EF4-FFF2-40B4-BE49-F238E27FC236}">
              <a16:creationId xmlns:a16="http://schemas.microsoft.com/office/drawing/2014/main" id="{13D212DA-AA94-4D0C-8E92-CE44D991F5DA}"/>
            </a:ext>
          </a:extLst>
        </xdr:cNvPr>
        <xdr:cNvSpPr txBox="1"/>
      </xdr:nvSpPr>
      <xdr:spPr>
        <a:xfrm>
          <a:off x="9845040" y="1485900"/>
          <a:ext cx="12801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Dis</a:t>
          </a:r>
          <a:r>
            <a:rPr lang="en-US" sz="1600" b="1" baseline="0"/>
            <a:t>counts</a:t>
          </a:r>
          <a:endParaRPr lang="en-US" sz="1600" b="1"/>
        </a:p>
      </xdr:txBody>
    </xdr:sp>
    <xdr:clientData/>
  </xdr:twoCellAnchor>
  <xdr:twoCellAnchor>
    <xdr:from>
      <xdr:col>9</xdr:col>
      <xdr:colOff>419100</xdr:colOff>
      <xdr:row>7</xdr:row>
      <xdr:rowOff>144780</xdr:rowOff>
    </xdr:from>
    <xdr:to>
      <xdr:col>11</xdr:col>
      <xdr:colOff>64770</xdr:colOff>
      <xdr:row>11</xdr:row>
      <xdr:rowOff>152400</xdr:rowOff>
    </xdr:to>
    <xdr:sp macro="" textlink="'SMART Quiestion'!H8">
      <xdr:nvSpPr>
        <xdr:cNvPr id="52" name="Rectangle 51">
          <a:extLst>
            <a:ext uri="{FF2B5EF4-FFF2-40B4-BE49-F238E27FC236}">
              <a16:creationId xmlns:a16="http://schemas.microsoft.com/office/drawing/2014/main" id="{FDA65773-F0DB-4B1F-BA60-D4749C17A1F9}"/>
            </a:ext>
          </a:extLst>
        </xdr:cNvPr>
        <xdr:cNvSpPr/>
      </xdr:nvSpPr>
      <xdr:spPr>
        <a:xfrm>
          <a:off x="11811000" y="1424940"/>
          <a:ext cx="1729740" cy="73914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D99B63E-CB8F-4270-B159-129CF7B20D73}" type="TxLink">
            <a:rPr lang="en-US" sz="1600" b="1" i="0" u="none" strike="noStrike">
              <a:solidFill>
                <a:schemeClr val="accent3"/>
              </a:solidFill>
              <a:latin typeface="Aptos Narrow"/>
            </a:rPr>
            <a:pPr algn="ctr"/>
            <a:t> 146,031 </a:t>
          </a:fld>
          <a:endParaRPr lang="en-US" sz="2400" b="1">
            <a:solidFill>
              <a:schemeClr val="accent3"/>
            </a:solidFill>
          </a:endParaRPr>
        </a:p>
      </xdr:txBody>
    </xdr:sp>
    <xdr:clientData/>
  </xdr:twoCellAnchor>
  <xdr:twoCellAnchor>
    <xdr:from>
      <xdr:col>9</xdr:col>
      <xdr:colOff>525780</xdr:colOff>
      <xdr:row>8</xdr:row>
      <xdr:rowOff>30480</xdr:rowOff>
    </xdr:from>
    <xdr:to>
      <xdr:col>10</xdr:col>
      <xdr:colOff>556260</xdr:colOff>
      <xdr:row>9</xdr:row>
      <xdr:rowOff>175260</xdr:rowOff>
    </xdr:to>
    <xdr:sp macro="" textlink="">
      <xdr:nvSpPr>
        <xdr:cNvPr id="53" name="TextBox 52">
          <a:extLst>
            <a:ext uri="{FF2B5EF4-FFF2-40B4-BE49-F238E27FC236}">
              <a16:creationId xmlns:a16="http://schemas.microsoft.com/office/drawing/2014/main" id="{9F725561-9CB3-4A6C-A1DE-8B7AC3131A9E}"/>
            </a:ext>
          </a:extLst>
        </xdr:cNvPr>
        <xdr:cNvSpPr txBox="1"/>
      </xdr:nvSpPr>
      <xdr:spPr>
        <a:xfrm>
          <a:off x="12024360" y="1493520"/>
          <a:ext cx="12801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COGS</a:t>
          </a:r>
        </a:p>
      </xdr:txBody>
    </xdr:sp>
    <xdr:clientData/>
  </xdr:twoCellAnchor>
  <xdr:twoCellAnchor editAs="oneCell">
    <xdr:from>
      <xdr:col>10</xdr:col>
      <xdr:colOff>133350</xdr:colOff>
      <xdr:row>31</xdr:row>
      <xdr:rowOff>160021</xdr:rowOff>
    </xdr:from>
    <xdr:to>
      <xdr:col>11</xdr:col>
      <xdr:colOff>426720</xdr:colOff>
      <xdr:row>37</xdr:row>
      <xdr:rowOff>30480</xdr:rowOff>
    </xdr:to>
    <mc:AlternateContent xmlns:mc="http://schemas.openxmlformats.org/markup-compatibility/2006">
      <mc:Choice xmlns:a14="http://schemas.microsoft.com/office/drawing/2010/main" Requires="a14">
        <xdr:graphicFrame macro="">
          <xdr:nvGraphicFramePr>
            <xdr:cNvPr id="54" name="Region">
              <a:extLst>
                <a:ext uri="{FF2B5EF4-FFF2-40B4-BE49-F238E27FC236}">
                  <a16:creationId xmlns:a16="http://schemas.microsoft.com/office/drawing/2014/main" id="{CEFA356F-64D5-DF8F-9907-BF2AAAA274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58700" y="5829301"/>
              <a:ext cx="1805940"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121920</xdr:colOff>
      <xdr:row>22</xdr:row>
      <xdr:rowOff>114301</xdr:rowOff>
    </xdr:from>
    <xdr:to>
      <xdr:col>11</xdr:col>
      <xdr:colOff>426720</xdr:colOff>
      <xdr:row>31</xdr:row>
      <xdr:rowOff>7620</xdr:rowOff>
    </xdr:to>
    <mc:AlternateContent xmlns:mc="http://schemas.openxmlformats.org/markup-compatibility/2006">
      <mc:Choice xmlns:a14="http://schemas.microsoft.com/office/drawing/2010/main" Requires="a14">
        <xdr:graphicFrame macro="">
          <xdr:nvGraphicFramePr>
            <xdr:cNvPr id="56" name="Person">
              <a:extLst>
                <a:ext uri="{FF2B5EF4-FFF2-40B4-BE49-F238E27FC236}">
                  <a16:creationId xmlns:a16="http://schemas.microsoft.com/office/drawing/2014/main" id="{0EAE9151-F73D-8E1F-C817-9F85E918865B}"/>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dr:sp macro="" textlink="">
          <xdr:nvSpPr>
            <xdr:cNvPr id="0" name=""/>
            <xdr:cNvSpPr>
              <a:spLocks noTextEdit="1"/>
            </xdr:cNvSpPr>
          </xdr:nvSpPr>
          <xdr:spPr>
            <a:xfrm>
              <a:off x="12435840" y="4137661"/>
              <a:ext cx="1828800" cy="1539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118110</xdr:colOff>
      <xdr:row>14</xdr:row>
      <xdr:rowOff>175260</xdr:rowOff>
    </xdr:from>
    <xdr:to>
      <xdr:col>11</xdr:col>
      <xdr:colOff>422910</xdr:colOff>
      <xdr:row>21</xdr:row>
      <xdr:rowOff>175259</xdr:rowOff>
    </xdr:to>
    <mc:AlternateContent xmlns:mc="http://schemas.openxmlformats.org/markup-compatibility/2006">
      <mc:Choice xmlns:a14="http://schemas.microsoft.com/office/drawing/2010/main" Requires="a14">
        <xdr:graphicFrame macro="">
          <xdr:nvGraphicFramePr>
            <xdr:cNvPr id="57" name="Category">
              <a:extLst>
                <a:ext uri="{FF2B5EF4-FFF2-40B4-BE49-F238E27FC236}">
                  <a16:creationId xmlns:a16="http://schemas.microsoft.com/office/drawing/2014/main" id="{FCE6D309-0445-1ECB-15BF-7CA856468CD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428220" y="2735580"/>
              <a:ext cx="1828800" cy="1280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140970</xdr:colOff>
      <xdr:row>37</xdr:row>
      <xdr:rowOff>167640</xdr:rowOff>
    </xdr:from>
    <xdr:to>
      <xdr:col>11</xdr:col>
      <xdr:colOff>445770</xdr:colOff>
      <xdr:row>41</xdr:row>
      <xdr:rowOff>137160</xdr:rowOff>
    </xdr:to>
    <mc:AlternateContent xmlns:mc="http://schemas.openxmlformats.org/markup-compatibility/2006">
      <mc:Choice xmlns:a14="http://schemas.microsoft.com/office/drawing/2010/main" Requires="a14">
        <xdr:graphicFrame macro="">
          <xdr:nvGraphicFramePr>
            <xdr:cNvPr id="58" name="Returned">
              <a:extLst>
                <a:ext uri="{FF2B5EF4-FFF2-40B4-BE49-F238E27FC236}">
                  <a16:creationId xmlns:a16="http://schemas.microsoft.com/office/drawing/2014/main" id="{A9156BB0-10CD-709C-5D06-E9965EA9F12E}"/>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dr:sp macro="" textlink="">
          <xdr:nvSpPr>
            <xdr:cNvPr id="0" name=""/>
            <xdr:cNvSpPr>
              <a:spLocks noTextEdit="1"/>
            </xdr:cNvSpPr>
          </xdr:nvSpPr>
          <xdr:spPr>
            <a:xfrm>
              <a:off x="12473940" y="6934200"/>
              <a:ext cx="1828800" cy="701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453390</xdr:colOff>
      <xdr:row>7</xdr:row>
      <xdr:rowOff>152400</xdr:rowOff>
    </xdr:from>
    <xdr:to>
      <xdr:col>2</xdr:col>
      <xdr:colOff>99060</xdr:colOff>
      <xdr:row>11</xdr:row>
      <xdr:rowOff>160020</xdr:rowOff>
    </xdr:to>
    <xdr:sp macro="" textlink="'SMART Quiestion'!B8">
      <xdr:nvSpPr>
        <xdr:cNvPr id="59" name="Rectangle 58">
          <a:extLst>
            <a:ext uri="{FF2B5EF4-FFF2-40B4-BE49-F238E27FC236}">
              <a16:creationId xmlns:a16="http://schemas.microsoft.com/office/drawing/2014/main" id="{A7E4D1E6-0011-AD85-AD6B-0030A5743C6D}"/>
            </a:ext>
          </a:extLst>
        </xdr:cNvPr>
        <xdr:cNvSpPr/>
      </xdr:nvSpPr>
      <xdr:spPr>
        <a:xfrm>
          <a:off x="906780" y="1432560"/>
          <a:ext cx="1729740" cy="73914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38082C0-F431-4610-A811-05E43ABF1FA7}" type="TxLink">
            <a:rPr lang="en-US" sz="1600" b="1" i="0" u="none" strike="noStrike">
              <a:solidFill>
                <a:schemeClr val="accent3"/>
              </a:solidFill>
              <a:latin typeface="Aptos Narrow"/>
            </a:rPr>
            <a:pPr algn="ctr"/>
            <a:t> 168,451.854 </a:t>
          </a:fld>
          <a:endParaRPr lang="en-US" sz="1600" b="1">
            <a:solidFill>
              <a:schemeClr val="accent3"/>
            </a:solidFill>
          </a:endParaRPr>
        </a:p>
      </xdr:txBody>
    </xdr:sp>
    <xdr:clientData/>
  </xdr:twoCellAnchor>
  <xdr:twoCellAnchor>
    <xdr:from>
      <xdr:col>0</xdr:col>
      <xdr:colOff>560070</xdr:colOff>
      <xdr:row>8</xdr:row>
      <xdr:rowOff>38100</xdr:rowOff>
    </xdr:from>
    <xdr:to>
      <xdr:col>1</xdr:col>
      <xdr:colOff>590550</xdr:colOff>
      <xdr:row>10</xdr:row>
      <xdr:rowOff>0</xdr:rowOff>
    </xdr:to>
    <xdr:sp macro="" textlink="">
      <xdr:nvSpPr>
        <xdr:cNvPr id="60" name="TextBox 59">
          <a:extLst>
            <a:ext uri="{FF2B5EF4-FFF2-40B4-BE49-F238E27FC236}">
              <a16:creationId xmlns:a16="http://schemas.microsoft.com/office/drawing/2014/main" id="{6FA88EAC-CECF-DB5D-F096-ECE56AD688AF}"/>
            </a:ext>
          </a:extLst>
        </xdr:cNvPr>
        <xdr:cNvSpPr txBox="1"/>
      </xdr:nvSpPr>
      <xdr:spPr>
        <a:xfrm>
          <a:off x="1120140" y="1501140"/>
          <a:ext cx="12801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Sales</a:t>
          </a:r>
          <a:endParaRPr lang="en-US" sz="1600" b="1"/>
        </a:p>
      </xdr:txBody>
    </xdr:sp>
    <xdr:clientData/>
  </xdr:twoCellAnchor>
  <xdr:twoCellAnchor>
    <xdr:from>
      <xdr:col>2</xdr:col>
      <xdr:colOff>300990</xdr:colOff>
      <xdr:row>7</xdr:row>
      <xdr:rowOff>152400</xdr:rowOff>
    </xdr:from>
    <xdr:to>
      <xdr:col>3</xdr:col>
      <xdr:colOff>556260</xdr:colOff>
      <xdr:row>11</xdr:row>
      <xdr:rowOff>160020</xdr:rowOff>
    </xdr:to>
    <xdr:sp macro="" textlink="'SMART Quiestion'!F7">
      <xdr:nvSpPr>
        <xdr:cNvPr id="61" name="Rectangle 60">
          <a:extLst>
            <a:ext uri="{FF2B5EF4-FFF2-40B4-BE49-F238E27FC236}">
              <a16:creationId xmlns:a16="http://schemas.microsoft.com/office/drawing/2014/main" id="{02C2FE5B-4675-43FB-7EF0-F95624188C4F}"/>
            </a:ext>
          </a:extLst>
        </xdr:cNvPr>
        <xdr:cNvSpPr/>
      </xdr:nvSpPr>
      <xdr:spPr>
        <a:xfrm>
          <a:off x="3040380" y="1432560"/>
          <a:ext cx="1729740" cy="73914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8F8F77B-279E-40B6-AFAF-43A61D4DF844}" type="TxLink">
            <a:rPr lang="en-US" sz="1600" b="1" i="0" u="none" strike="noStrike">
              <a:solidFill>
                <a:schemeClr val="accent3"/>
              </a:solidFill>
              <a:latin typeface="Aptos Narrow"/>
            </a:rPr>
            <a:pPr algn="ctr"/>
            <a:t> 8,970.4 </a:t>
          </a:fld>
          <a:endParaRPr lang="en-US" sz="2400" b="1">
            <a:solidFill>
              <a:schemeClr val="accent3"/>
            </a:solidFill>
          </a:endParaRPr>
        </a:p>
      </xdr:txBody>
    </xdr:sp>
    <xdr:clientData/>
  </xdr:twoCellAnchor>
  <xdr:twoCellAnchor>
    <xdr:from>
      <xdr:col>2</xdr:col>
      <xdr:colOff>407670</xdr:colOff>
      <xdr:row>8</xdr:row>
      <xdr:rowOff>38100</xdr:rowOff>
    </xdr:from>
    <xdr:to>
      <xdr:col>3</xdr:col>
      <xdr:colOff>438150</xdr:colOff>
      <xdr:row>10</xdr:row>
      <xdr:rowOff>0</xdr:rowOff>
    </xdr:to>
    <xdr:sp macro="" textlink="">
      <xdr:nvSpPr>
        <xdr:cNvPr id="62" name="TextBox 61">
          <a:extLst>
            <a:ext uri="{FF2B5EF4-FFF2-40B4-BE49-F238E27FC236}">
              <a16:creationId xmlns:a16="http://schemas.microsoft.com/office/drawing/2014/main" id="{F5095553-8880-7543-3A47-4D4843B72DA8}"/>
            </a:ext>
          </a:extLst>
        </xdr:cNvPr>
        <xdr:cNvSpPr txBox="1"/>
      </xdr:nvSpPr>
      <xdr:spPr>
        <a:xfrm>
          <a:off x="3253740" y="1501140"/>
          <a:ext cx="12801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Returned</a:t>
          </a:r>
        </a:p>
      </xdr:txBody>
    </xdr:sp>
    <xdr:clientData/>
  </xdr:twoCellAnchor>
  <xdr:twoCellAnchor>
    <xdr:from>
      <xdr:col>4</xdr:col>
      <xdr:colOff>167640</xdr:colOff>
      <xdr:row>7</xdr:row>
      <xdr:rowOff>152400</xdr:rowOff>
    </xdr:from>
    <xdr:to>
      <xdr:col>5</xdr:col>
      <xdr:colOff>422910</xdr:colOff>
      <xdr:row>11</xdr:row>
      <xdr:rowOff>160020</xdr:rowOff>
    </xdr:to>
    <xdr:sp macro="" textlink="'SMART Quiestion'!B8">
      <xdr:nvSpPr>
        <xdr:cNvPr id="63" name="Rectangle 62">
          <a:extLst>
            <a:ext uri="{FF2B5EF4-FFF2-40B4-BE49-F238E27FC236}">
              <a16:creationId xmlns:a16="http://schemas.microsoft.com/office/drawing/2014/main" id="{83B2B935-2780-3FF6-EC38-2EC13DBE4285}"/>
            </a:ext>
          </a:extLst>
        </xdr:cNvPr>
        <xdr:cNvSpPr/>
      </xdr:nvSpPr>
      <xdr:spPr>
        <a:xfrm>
          <a:off x="5212080" y="1432560"/>
          <a:ext cx="1729740" cy="73914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38082C0-F431-4610-A811-05E43ABF1FA7}" type="TxLink">
            <a:rPr lang="en-US" sz="1600" b="1" i="0" u="none" strike="noStrike">
              <a:solidFill>
                <a:schemeClr val="accent3"/>
              </a:solidFill>
              <a:latin typeface="Aptos Narrow"/>
            </a:rPr>
            <a:pPr algn="ctr"/>
            <a:t> 168,451.854 </a:t>
          </a:fld>
          <a:endParaRPr lang="en-US" sz="1600" b="1">
            <a:solidFill>
              <a:schemeClr val="accent3"/>
            </a:solidFill>
          </a:endParaRPr>
        </a:p>
      </xdr:txBody>
    </xdr:sp>
    <xdr:clientData/>
  </xdr:twoCellAnchor>
  <xdr:twoCellAnchor>
    <xdr:from>
      <xdr:col>4</xdr:col>
      <xdr:colOff>274320</xdr:colOff>
      <xdr:row>8</xdr:row>
      <xdr:rowOff>38100</xdr:rowOff>
    </xdr:from>
    <xdr:to>
      <xdr:col>5</xdr:col>
      <xdr:colOff>304800</xdr:colOff>
      <xdr:row>10</xdr:row>
      <xdr:rowOff>0</xdr:rowOff>
    </xdr:to>
    <xdr:sp macro="" textlink="">
      <xdr:nvSpPr>
        <xdr:cNvPr id="64" name="TextBox 63">
          <a:extLst>
            <a:ext uri="{FF2B5EF4-FFF2-40B4-BE49-F238E27FC236}">
              <a16:creationId xmlns:a16="http://schemas.microsoft.com/office/drawing/2014/main" id="{088D9A74-7628-E350-D1F2-F448239F1A52}"/>
            </a:ext>
          </a:extLst>
        </xdr:cNvPr>
        <xdr:cNvSpPr txBox="1"/>
      </xdr:nvSpPr>
      <xdr:spPr>
        <a:xfrm>
          <a:off x="5425440" y="1501140"/>
          <a:ext cx="12801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Sales</a:t>
          </a:r>
          <a:endParaRPr lang="en-US" sz="1600" b="1"/>
        </a:p>
      </xdr:txBody>
    </xdr:sp>
    <xdr:clientData/>
  </xdr:twoCellAnchor>
  <xdr:twoCellAnchor>
    <xdr:from>
      <xdr:col>6</xdr:col>
      <xdr:colOff>49530</xdr:colOff>
      <xdr:row>7</xdr:row>
      <xdr:rowOff>160020</xdr:rowOff>
    </xdr:from>
    <xdr:to>
      <xdr:col>7</xdr:col>
      <xdr:colOff>304800</xdr:colOff>
      <xdr:row>11</xdr:row>
      <xdr:rowOff>167640</xdr:rowOff>
    </xdr:to>
    <xdr:sp macro="" textlink="'SMART Quiestion'!F8">
      <xdr:nvSpPr>
        <xdr:cNvPr id="65" name="Rectangle 64">
          <a:extLst>
            <a:ext uri="{FF2B5EF4-FFF2-40B4-BE49-F238E27FC236}">
              <a16:creationId xmlns:a16="http://schemas.microsoft.com/office/drawing/2014/main" id="{0584BE47-F151-FF55-D246-63A8F5B4606E}"/>
            </a:ext>
          </a:extLst>
        </xdr:cNvPr>
        <xdr:cNvSpPr/>
      </xdr:nvSpPr>
      <xdr:spPr>
        <a:xfrm>
          <a:off x="7414260" y="1440180"/>
          <a:ext cx="1729740" cy="73914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9D139CE-BF4C-4C30-B99B-F57F5DE19649}" type="TxLink">
            <a:rPr lang="en-US" sz="1600" b="1" i="0" u="none" strike="noStrike">
              <a:solidFill>
                <a:schemeClr val="accent3"/>
              </a:solidFill>
              <a:latin typeface="Aptos Narrow"/>
            </a:rPr>
            <a:pPr algn="ctr"/>
            <a:t> 159,481.5 </a:t>
          </a:fld>
          <a:endParaRPr lang="en-US" sz="2400" b="1">
            <a:solidFill>
              <a:schemeClr val="accent3"/>
            </a:solidFill>
          </a:endParaRPr>
        </a:p>
      </xdr:txBody>
    </xdr:sp>
    <xdr:clientData/>
  </xdr:twoCellAnchor>
  <xdr:twoCellAnchor>
    <xdr:from>
      <xdr:col>6</xdr:col>
      <xdr:colOff>156210</xdr:colOff>
      <xdr:row>8</xdr:row>
      <xdr:rowOff>45720</xdr:rowOff>
    </xdr:from>
    <xdr:to>
      <xdr:col>7</xdr:col>
      <xdr:colOff>186690</xdr:colOff>
      <xdr:row>10</xdr:row>
      <xdr:rowOff>7620</xdr:rowOff>
    </xdr:to>
    <xdr:sp macro="" textlink="">
      <xdr:nvSpPr>
        <xdr:cNvPr id="66" name="TextBox 65">
          <a:extLst>
            <a:ext uri="{FF2B5EF4-FFF2-40B4-BE49-F238E27FC236}">
              <a16:creationId xmlns:a16="http://schemas.microsoft.com/office/drawing/2014/main" id="{20BB4F75-E3EA-85CA-6800-0EED703CD665}"/>
            </a:ext>
          </a:extLst>
        </xdr:cNvPr>
        <xdr:cNvSpPr txBox="1"/>
      </xdr:nvSpPr>
      <xdr:spPr>
        <a:xfrm>
          <a:off x="7627620" y="1508760"/>
          <a:ext cx="128016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Net Sales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4583332" backgroundQuery="1" createdVersion="8" refreshedVersion="8" minRefreshableVersion="3" recordCount="0" supportSubquery="1" supportAdvancedDrill="1" xr:uid="{725818E6-9DBB-4C3E-8D0F-2B8A21A367C2}">
  <cacheSource type="external" connectionId="4"/>
  <cacheFields count="3">
    <cacheField name="[People].[Person].[Person]" caption="Person" numFmtId="0" hierarchy="24" level="1">
      <sharedItems count="4">
        <s v="Anna Andreadi"/>
        <s v="Cassandra Brandow"/>
        <s v="Chuck Magee"/>
        <s v="Kelly Williams"/>
      </sharedItems>
    </cacheField>
    <cacheField name="[Measures].[Sum of Quantity]" caption="Sum of Quantity" numFmtId="0" hierarchy="40" level="32767"/>
    <cacheField name="[Orders].[Category].[Category]" caption="Category" numFmtId="0" hierarchy="14"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5046294" backgroundQuery="1" createdVersion="8" refreshedVersion="8" minRefreshableVersion="3" recordCount="0" supportSubquery="1" supportAdvancedDrill="1" xr:uid="{067E2FB8-CFFB-4301-930F-45988F4A20DA}">
  <cacheSource type="external" connectionId="4"/>
  <cacheFields count="5">
    <cacheField name="[Returns].[Returned].[Returned]" caption="Returned" numFmtId="0" hierarchy="26" level="1">
      <sharedItems containsBlank="1" count="2">
        <s v="Yes"/>
        <m/>
      </sharedItems>
    </cacheField>
    <cacheField name="[Measures].[Sum of Sales]" caption="Sum of Sales" numFmtId="0" hierarchy="36" level="32767"/>
    <cacheField name="[Measures].[Sum of Discount]" caption="Sum of Discount" numFmtId="0" hierarchy="38" level="32767"/>
    <cacheField name="[Measures].[Sum of COGS]" caption="Sum of COGS" numFmtId="0" hierarchy="37" level="32767"/>
    <cacheField name="[Orders].[Category].[Category]" caption="Category" numFmtId="0" hierarchy="14"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fieldsUsage count="2">
        <fieldUsage x="-1"/>
        <fieldUsage x="0"/>
      </fieldsUsage>
    </cacheHierarchy>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5046294" backgroundQuery="1" createdVersion="8" refreshedVersion="8" minRefreshableVersion="3" recordCount="0" supportSubquery="1" supportAdvancedDrill="1" xr:uid="{26E2943A-7DE0-45D1-8308-0AC91F1FF661}">
  <cacheSource type="external" connectionId="4"/>
  <cacheFields count="2">
    <cacheField name="[Measures].[Sum of Sales]" caption="Sum of Sales" numFmtId="0" hierarchy="36" level="32767"/>
    <cacheField name="[Orders].[Category].[Category]" caption="Category" numFmtId="0" hierarchy="14"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5509263" backgroundQuery="1" createdVersion="8" refreshedVersion="8" minRefreshableVersion="3" recordCount="0" supportSubquery="1" supportAdvancedDrill="1" xr:uid="{F0A7D174-9097-404E-B6CD-B470E23662C7}">
  <cacheSource type="external" connectionId="4"/>
  <cacheFields count="2">
    <cacheField name="[Orders].[Category].[Category]" caption="Category" numFmtId="0" hierarchy="14" level="1">
      <sharedItems count="3">
        <s v="Furniture"/>
        <s v="Office Supplies"/>
        <s v="Technology"/>
      </sharedItems>
    </cacheField>
    <cacheField name="[Measures].[Sum of Sales]" caption="Sum of Sales" numFmtId="0" hierarchy="36" level="32767"/>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5856479" backgroundQuery="1" createdVersion="8" refreshedVersion="8" minRefreshableVersion="3" recordCount="0" supportSubquery="1" supportAdvancedDrill="1" xr:uid="{4D3F0CB2-4A97-4C57-84C0-4441707F9ADC}">
  <cacheSource type="external" connectionId="4"/>
  <cacheFields count="3">
    <cacheField name="[People].[Person].[Person]" caption="Person" numFmtId="0" hierarchy="24" level="1">
      <sharedItems count="4">
        <s v="Anna Andreadi"/>
        <s v="Cassandra Brandow"/>
        <s v="Chuck Magee"/>
        <s v="Kelly Williams"/>
      </sharedItems>
    </cacheField>
    <cacheField name="[Measures].[Sum of Sales]" caption="Sum of Sales" numFmtId="0" hierarchy="36" level="32767"/>
    <cacheField name="[Orders].[Category].[Category]" caption="Category" numFmtId="0" hierarchy="14"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6319448" backgroundQuery="1" createdVersion="8" refreshedVersion="8" minRefreshableVersion="3" recordCount="0" supportSubquery="1" supportAdvancedDrill="1" xr:uid="{2DE7C8B9-654B-47BD-A12C-E96F86CF7084}">
  <cacheSource type="external" connectionId="4"/>
  <cacheFields count="3">
    <cacheField name="[Orders].[Region].[Region]" caption="Region" numFmtId="0" hierarchy="12" level="1">
      <sharedItems count="4">
        <s v="Central"/>
        <s v="East"/>
        <s v="South"/>
        <s v="West"/>
      </sharedItems>
    </cacheField>
    <cacheField name="[Measures].[Sum of Sales]" caption="Sum of Sales" numFmtId="0" hierarchy="36" level="32767"/>
    <cacheField name="[Orders].[Category].[Category]" caption="Category" numFmtId="0" hierarchy="14"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678241" backgroundQuery="1" createdVersion="8" refreshedVersion="8" minRefreshableVersion="3" recordCount="0" supportSubquery="1" supportAdvancedDrill="1" xr:uid="{90F4AC3F-8470-4128-AC1B-07E8E206FB34}">
  <cacheSource type="external" connectionId="4"/>
  <cacheFields count="3">
    <cacheField name="[Measures].[Sum of Sales]" caption="Sum of Sales" numFmtId="0" hierarchy="36" level="32767"/>
    <cacheField name="[Orders].[State].[State]" caption="State" numFmtId="0" hierarchy="10" level="1">
      <sharedItems count="41">
        <s v="Alabama"/>
        <s v="Arizona"/>
        <s v="California"/>
        <s v="Colorado"/>
        <s v="Connecticut"/>
        <s v="Delaware"/>
        <s v="Florida"/>
        <s v="Georgia"/>
        <s v="Illinois"/>
        <s v="Indiana"/>
        <s v="Kentucky"/>
        <s v="Louisiana"/>
        <s v="Massachusetts"/>
        <s v="Michigan"/>
        <s v="Minnesota"/>
        <s v="Mississippi"/>
        <s v="Missouri"/>
        <s v="New Jersey"/>
        <s v="New Mexico"/>
        <s v="New York"/>
        <s v="North Carolina"/>
        <s v="Ohio"/>
        <s v="Pennsylvania"/>
        <s v="Tennessee"/>
        <s v="Texas"/>
        <s v="Utah"/>
        <s v="Virginia"/>
        <s v="Washington"/>
        <s v="Wisconsin"/>
        <s v="Arkansas"/>
        <s v="District of Columbia"/>
        <s v="Iowa"/>
        <s v="Kansas"/>
        <s v="Maryland"/>
        <s v="Nebraska"/>
        <s v="Nevada"/>
        <s v="New Hampshire"/>
        <s v="Oklahoma"/>
        <s v="Oregon"/>
        <s v="Rhode Island"/>
        <s v="South Dakota"/>
      </sharedItems>
    </cacheField>
    <cacheField name="[Orders].[Category].[Category]" caption="Category" numFmtId="0" hierarchy="14" level="1">
      <sharedItems count="3">
        <s v="Furniture"/>
        <s v="Office Supplies"/>
        <s v="Technology"/>
      </sharedItems>
    </cacheField>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678241" backgroundQuery="1" createdVersion="8" refreshedVersion="8" minRefreshableVersion="3" recordCount="0" supportSubquery="1" supportAdvancedDrill="1" xr:uid="{5983263E-6ECF-4D02-B1AB-83DBF81B2EE6}">
  <cacheSource type="external" connectionId="4"/>
  <cacheFields count="2">
    <cacheField name="[Measures].[Sum of COGS]" caption="Sum of COGS" numFmtId="0" hierarchy="37" level="32767"/>
    <cacheField name="[Orders].[Category].[Category]" caption="Category" numFmtId="0" hierarchy="14"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6898149" backgroundQuery="1" createdVersion="8" refreshedVersion="8" minRefreshableVersion="3" recordCount="0" supportSubquery="1" supportAdvancedDrill="1" xr:uid="{490BB69D-A554-457A-B013-EA13D51C8EF2}">
  <cacheSource type="external" connectionId="4"/>
  <cacheFields count="2">
    <cacheField name="[Measures].[Sum of Discount]" caption="Sum of Discount" numFmtId="0" hierarchy="38" level="32767"/>
    <cacheField name="[Orders].[Category].[Category]" caption="Category" numFmtId="0" hierarchy="14"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7013887" backgroundQuery="1" createdVersion="8" refreshedVersion="8" minRefreshableVersion="3" recordCount="0" supportSubquery="1" supportAdvancedDrill="1" xr:uid="{E6EA1517-006D-4DF7-8F6F-CD7151BF4A31}">
  <cacheSource type="external" connectionId="4"/>
  <cacheFields count="2">
    <cacheField name="[Measures].[Sum of Profit]" caption="Sum of Profit" numFmtId="0" hierarchy="39" level="32767"/>
    <cacheField name="[Orders].[Category].[Category]" caption="Category" numFmtId="0" hierarchy="14"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736111" backgroundQuery="1" createdVersion="8" refreshedVersion="8" minRefreshableVersion="3" recordCount="0" supportSubquery="1" supportAdvancedDrill="1" xr:uid="{0E973BA1-3A87-4F31-9A92-233BF3975000}">
  <cacheSource type="external" connectionId="4"/>
  <cacheFields count="3">
    <cacheField name="[Orders].[City].[City]" caption="City" numFmtId="0" hierarchy="9" level="1">
      <sharedItems count="10">
        <s v="Burlington"/>
        <s v="Chicago"/>
        <s v="Houston"/>
        <s v="Jackson"/>
        <s v="Jamestown"/>
        <s v="Los Angeles"/>
        <s v="New York City"/>
        <s v="Philadelphia"/>
        <s v="San Francisco"/>
        <s v="Seattle"/>
      </sharedItems>
    </cacheField>
    <cacheField name="[Measures].[Sum of Sales]" caption="Sum of Sales" numFmtId="0" hierarchy="36" level="32767"/>
    <cacheField name="[Orders].[Category].[Category]" caption="Category" numFmtId="0" hierarchy="14"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135717708334" backgroundQuery="1" createdVersion="8" refreshedVersion="8" minRefreshableVersion="3" recordCount="0" supportSubquery="1" supportAdvancedDrill="1" xr:uid="{6175B5D1-349B-472A-A91A-044156C5F0BC}">
  <cacheSource type="external" connectionId="4"/>
  <cacheFields count="3">
    <cacheField name="[Orders].[State].[State]" caption="State" numFmtId="0" hierarchy="10" level="1">
      <sharedItems count="10">
        <s v="California"/>
        <s v="Florida"/>
        <s v="Illinois"/>
        <s v="Minnesota"/>
        <s v="New York"/>
        <s v="North Carolina"/>
        <s v="Ohio"/>
        <s v="Pennsylvania"/>
        <s v="Texas"/>
        <s v="Washington"/>
      </sharedItems>
    </cacheField>
    <cacheField name="[Measures].[Sum of Sales]" caption="Sum of Sales" numFmtId="0" hierarchy="36" level="32767"/>
    <cacheField name="[Orders].[Category].[Category]" caption="Category" numFmtId="0" hierarchy="14"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Net Sales]" caption="Net Sales" attribute="1" defaultMemberUniqueName="[Orders].[Net Sales].[All]" allUniqueName="[Orders].[Net Sales].[All]" dimensionUniqueName="[Orders]" displayFolder="" count="0" memberValueDatatype="5" unbalanced="0"/>
    <cacheHierarchy uniqueName="[Orders].[Cost Per Unit]" caption="Cost Per Unit" attribute="1" defaultMemberUniqueName="[Orders].[Cost Per Unit].[All]" allUniqueName="[Orders].[Cost Per Unit].[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096626157407" backgroundQuery="1" createdVersion="3" refreshedVersion="8" minRefreshableVersion="3" recordCount="0" supportSubquery="1" supportAdvancedDrill="1" xr:uid="{F975E847-33E8-40F1-8FE8-AA9F3ED3D184}">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Measures]" caption="Measures" attribute="1" keyAttribute="1" defaultMemberUniqueName="[Measures].[__No measures defined]" dimensionUniqueName="[Measures]" displayFolder="" measures="1" count="1" memberValueDatatype="130" unbalanced="0"/>
    <cacheHierarchy uniqueName="[Orders].[Row ID]" caption="Row ID" attribute="1" defaultMemberUniqueName="[Orders].[Row ID].[All]" allUniqueName="[Orders].[Row ID].[All]" dimensionUniqueName="[Ord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Net Sales]" caption="Net Sales" attribute="1" defaultMemberUniqueName="[Orders].[Net Sales].[All]" allUniqueName="[Orders].[Net Sales].[All]" dimensionUniqueName="[Orders]" displayFolder="" count="2" memberValueDatatype="5" unbalanced="0"/>
    <cacheHierarchy uniqueName="[Orders].[Cost Per Unit]" caption="Cost Per Unit" attribute="1" defaultMemberUniqueName="[Orders].[Cost Per Unit].[All]" allUniqueName="[Orders].[Cost Per Unit].[All]" dimensionUniqueName="[Orders]" displayFolder="" count="2"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s].[Returned]" caption="Returned" attribute="1" defaultMemberUniqueName="[Returns].[Returned].[All]" allUniqueName="[Returns].[Returned].[All]" dimensionUniqueName="[Returns]" displayFolder="" count="2" memberValueDatatype="130" unbalanced="0"/>
    <cacheHierarchy uniqueName="[Returns].[Order ID]" caption="Order ID" attribute="1" defaultMemberUniqueName="[Returns].[Order ID].[All]" allUniqueName="[Returns].[Order ID].[All]" dimensionUniqueName="[Returns]" displayFolder="" count="2" memberValueDatatype="130" unbalanced="0"/>
    <cacheHierarchy uniqueName="[Measures].[Total Profit]" caption="Total Profit" measure="1" displayFolder="" measureGroup="Orders" count="0"/>
    <cacheHierarchy uniqueName="[Measures].[T.Customer-ID]" caption="T.Customer-ID" measure="1" displayFolder="" measureGroup="Orders" count="0"/>
    <cacheHierarchy uniqueName="[Measures].[T.Order-ID]" caption="T.Order-ID" measure="1" displayFolder="" measureGroup="Orders" count="0"/>
    <cacheHierarchy uniqueName="[Measures].[Profit By Order]" caption="Profit By Order" measure="1" displayFolder="" measureGroup="Orders" count="0"/>
    <cacheHierarchy uniqueName="[Measures].[__XL_Count Returns]" caption="__XL_Count Returns" measure="1" displayFolder="" measureGroup="Returns" count="0" hidden="1"/>
    <cacheHierarchy uniqueName="[Measures].[__XL_Count People]" caption="__XL_Count People" measure="1" displayFolder="" measureGroup="People"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9"/>
        </ext>
      </extLst>
    </cacheHierarchy>
  </cacheHierarchies>
  <kpis count="0"/>
  <dimensions count="4">
    <dimension measure="1" name="Measures" uniqueName="[Measures]" caption="Measures"/>
    <dimension name="Orders" uniqueName="[Orders]" caption="Orders"/>
    <dimension name="People" uniqueName="[People]" caption="People"/>
    <dimension name="Returns" uniqueName="[Returns]" caption="Returns"/>
  </dimensions>
  <measureGroups count="3">
    <measureGroup name="Orders" caption="Orders"/>
    <measureGroup name="People" caption="People"/>
    <measureGroup name="Returns" caption="Return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licerData="1" pivotCacheId="3883515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D81E9-1A16-4A6F-8238-AAEBE05FF0DD}" name="Sum of COGS" cacheId="2187" applyNumberFormats="0" applyBorderFormats="0" applyFontFormats="0" applyPatternFormats="0" applyAlignmentFormats="0" applyWidthHeightFormats="1" dataCaption="Values" tag="50b122c1-7ae8-4fe2-883a-3ef573008039" updatedVersion="8" minRefreshableVersion="3" useAutoFormatting="1" subtotalHiddenItems="1" itemPrintTitles="1" createdVersion="8"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numFmtId="43"/>
  </dataFields>
  <formats count="3">
    <format dxfId="2466">
      <pivotArea type="all" dataOnly="0" outline="0" fieldPosition="0"/>
    </format>
    <format dxfId="2467">
      <pivotArea outline="0" collapsedLevelsAreSubtotals="1" fieldPosition="0"/>
    </format>
    <format dxfId="2468">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EDB93E-59BE-4454-8762-F6727D6BF6D1}" name="Sales By Category" cacheId="2175" applyNumberFormats="0" applyBorderFormats="0" applyFontFormats="0" applyPatternFormats="0" applyAlignmentFormats="0" applyWidthHeightFormats="1" dataCaption="Values" tag="3483c0c3-c8c4-48e1-8675-21a3e81fb008" updatedVersion="8" minRefreshableVersion="3" useAutoFormatting="1" subtotalHiddenItems="1" itemPrintTitles="1" createdVersion="8" indent="0" outline="1" outlineData="1" multipleFieldFilters="0" chartFormat="8" rowHeaderCaption="Sales By Category">
  <location ref="K18:L2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numFmtId="165"/>
  </dataFields>
  <formats count="6">
    <format dxfId="2481">
      <pivotArea type="all" dataOnly="0" outline="0" fieldPosition="0"/>
    </format>
    <format dxfId="2482">
      <pivotArea outline="0" collapsedLevelsAreSubtotals="1" fieldPosition="0"/>
    </format>
    <format dxfId="2483">
      <pivotArea field="0" type="button" dataOnly="0" labelOnly="1" outline="0" axis="axisRow" fieldPosition="0"/>
    </format>
    <format dxfId="2484">
      <pivotArea dataOnly="0" labelOnly="1" fieldPosition="0">
        <references count="1">
          <reference field="0" count="0"/>
        </references>
      </pivotArea>
    </format>
    <format dxfId="2485">
      <pivotArea dataOnly="0" labelOnly="1" grandRow="1" outline="0" fieldPosition="0"/>
    </format>
    <format dxfId="248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F0ABD4-00E5-4567-9D60-7D3CA912DBF9}" name="sales by regoin" cacheId="2181" applyNumberFormats="0" applyBorderFormats="0" applyFontFormats="0" applyPatternFormats="0" applyAlignmentFormats="0" applyWidthHeightFormats="1" dataCaption="Values" tag="d5c7d6d3-48a9-45ff-ae69-2faa091851f6" updatedVersion="8" minRefreshableVersion="3" useAutoFormatting="1" subtotalHiddenItems="1" itemPrintTitles="1" createdVersion="8" indent="0" outline="1" outlineData="1" multipleFieldFilters="0" chartFormat="8" rowHeaderCaption="sales by regoin">
  <location ref="AH18:AI23"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3"/>
    </i>
    <i>
      <x v="1"/>
    </i>
    <i t="grand">
      <x/>
    </i>
  </rowItems>
  <colItems count="1">
    <i/>
  </colItems>
  <dataFields count="1">
    <dataField name="Sum of Sales" fld="1" baseField="0" baseItem="0" numFmtId="165"/>
  </dataFields>
  <formats count="6">
    <format dxfId="2469">
      <pivotArea type="all" dataOnly="0" outline="0" fieldPosition="0"/>
    </format>
    <format dxfId="2470">
      <pivotArea outline="0" collapsedLevelsAreSubtotals="1" fieldPosition="0"/>
    </format>
    <format dxfId="2471">
      <pivotArea field="0" type="button" dataOnly="0" labelOnly="1" outline="0" axis="axisRow" fieldPosition="0"/>
    </format>
    <format dxfId="2472">
      <pivotArea dataOnly="0" labelOnly="1" fieldPosition="0">
        <references count="1">
          <reference field="0" count="0"/>
        </references>
      </pivotArea>
    </format>
    <format dxfId="2473">
      <pivotArea dataOnly="0" labelOnly="1" grandRow="1" outline="0" fieldPosition="0"/>
    </format>
    <format dxfId="247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E777B3-4E9E-4132-A336-06E7B1EE6965}" name="Top 10 Cities By Sales" cacheId="2196" applyNumberFormats="0" applyBorderFormats="0" applyFontFormats="0" applyPatternFormats="0" applyAlignmentFormats="0" applyWidthHeightFormats="1" dataCaption="Values" tag="f0a84fd8-4051-46d1-a52c-9784d85d3f30" updatedVersion="8" minRefreshableVersion="3" subtotalHiddenItems="1" itemPrintTitles="1" createdVersion="8" indent="0" outline="1" outlineData="1" multipleFieldFilters="0" chartFormat="11" rowHeaderCaption="Top 10 Cities">
  <location ref="F17:G2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4"/>
    </i>
    <i>
      <x v="1"/>
    </i>
    <i>
      <x v="2"/>
    </i>
    <i>
      <x v="9"/>
    </i>
    <i>
      <x v="8"/>
    </i>
    <i>
      <x v="7"/>
    </i>
    <i>
      <x/>
    </i>
    <i>
      <x v="5"/>
    </i>
    <i>
      <x v="6"/>
    </i>
    <i t="grand">
      <x/>
    </i>
  </rowItems>
  <colItems count="1">
    <i/>
  </colItems>
  <dataFields count="1">
    <dataField name="Sum of Sales" fld="1" baseField="0" baseItem="0" numFmtId="165"/>
  </dataFields>
  <formats count="6">
    <format dxfId="2457">
      <pivotArea type="all" dataOnly="0" outline="0" fieldPosition="0"/>
    </format>
    <format dxfId="2458">
      <pivotArea outline="0" collapsedLevelsAreSubtotals="1" fieldPosition="0"/>
    </format>
    <format dxfId="2459">
      <pivotArea field="0" type="button" dataOnly="0" labelOnly="1" outline="0" axis="axisRow" fieldPosition="0"/>
    </format>
    <format dxfId="2460">
      <pivotArea dataOnly="0" labelOnly="1" fieldPosition="0">
        <references count="1">
          <reference field="0" count="0"/>
        </references>
      </pivotArea>
    </format>
    <format dxfId="2461">
      <pivotArea dataOnly="0" labelOnly="1" grandRow="1" outline="0" fieldPosition="0"/>
    </format>
    <format dxfId="2462">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3D63DD-B24F-44B8-94AE-8DED45F373CF}" name="net sales , discount , cogs" cacheId="2169" applyNumberFormats="0" applyBorderFormats="0" applyFontFormats="0" applyPatternFormats="0" applyAlignmentFormats="0" applyWidthHeightFormats="1" dataCaption="Values" tag="4aa2e8e5-298d-4114-bbf8-ae245f6f652a" updatedVersion="8" minRefreshableVersion="3" useAutoFormatting="1" subtotalHiddenItems="1" itemPrintTitles="1" createdVersion="8" indent="0" outline="1" outlineData="1" multipleFieldFilters="0">
  <location ref="E3:H6"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Sum of Sales" fld="1" baseField="0" baseItem="0"/>
    <dataField name="Sum of Discount" fld="2" baseField="0" baseItem="0"/>
    <dataField name="Sum of COGS" fld="3" baseField="0" baseItem="0"/>
  </dataFields>
  <formats count="6">
    <format dxfId="2488">
      <pivotArea type="all" dataOnly="0" outline="0" fieldPosition="0"/>
    </format>
    <format dxfId="2489">
      <pivotArea outline="0" collapsedLevelsAreSubtotals="1" fieldPosition="0"/>
    </format>
    <format dxfId="2490">
      <pivotArea field="0" type="button" dataOnly="0" labelOnly="1" outline="0" axis="axisRow" fieldPosition="0"/>
    </format>
    <format dxfId="2491">
      <pivotArea dataOnly="0" labelOnly="1" fieldPosition="0">
        <references count="1">
          <reference field="0" count="0"/>
        </references>
      </pivotArea>
    </format>
    <format dxfId="2492">
      <pivotArea dataOnly="0" labelOnly="1" grandRow="1" outline="0" fieldPosition="0"/>
    </format>
    <format dxfId="2493">
      <pivotArea dataOnly="0" labelOnly="1" outline="0" fieldPosition="0">
        <references count="1">
          <reference field="4294967294" count="3">
            <x v="0"/>
            <x v="1"/>
            <x v="2"/>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CDF385-47D4-407E-B1B3-DAC9A99AF6A9}" name="sales by states and category" cacheId="2184" applyNumberFormats="0" applyBorderFormats="0" applyFontFormats="0" applyPatternFormats="0" applyAlignmentFormats="0" applyWidthHeightFormats="1" dataCaption="Values" tag="1b26c6de-4abe-4293-9dd9-bfe6989aaf7c" updatedVersion="8" minRefreshableVersion="3" useAutoFormatting="1" subtotalHiddenItems="1" itemPrintTitles="1" createdVersion="8" indent="0" outline="1" outlineData="1" multipleFieldFilters="0" rowHeaderCaption="sales by states and category">
  <location ref="AB18:AC125" firstHeaderRow="1" firstDataRow="1" firstDataCol="1"/>
  <pivotFields count="3">
    <pivotField dataField="1" subtotalTop="0" showAll="0" defaultSubtotal="0"/>
    <pivotField axis="axisRow" allDrilled="1"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 axis="axisRow" allDrilled="1" subtotalTop="0" showAll="0" dataSourceSort="1" defaultSubtotal="0" defaultAttributeDrillState="1">
      <items count="3">
        <item x="0"/>
        <item x="1"/>
        <item x="2"/>
      </items>
    </pivotField>
  </pivotFields>
  <rowFields count="2">
    <field x="2"/>
    <field x="1"/>
  </rowFields>
  <rowItems count="107">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x v="1"/>
    </i>
    <i r="1">
      <x/>
    </i>
    <i r="1">
      <x v="1"/>
    </i>
    <i r="1">
      <x v="29"/>
    </i>
    <i r="1">
      <x v="2"/>
    </i>
    <i r="1">
      <x v="3"/>
    </i>
    <i r="1">
      <x v="4"/>
    </i>
    <i r="1">
      <x v="5"/>
    </i>
    <i r="1">
      <x v="30"/>
    </i>
    <i r="1">
      <x v="6"/>
    </i>
    <i r="1">
      <x v="7"/>
    </i>
    <i r="1">
      <x v="8"/>
    </i>
    <i r="1">
      <x v="9"/>
    </i>
    <i r="1">
      <x v="31"/>
    </i>
    <i r="1">
      <x v="32"/>
    </i>
    <i r="1">
      <x v="10"/>
    </i>
    <i r="1">
      <x v="11"/>
    </i>
    <i r="1">
      <x v="33"/>
    </i>
    <i r="1">
      <x v="12"/>
    </i>
    <i r="1">
      <x v="13"/>
    </i>
    <i r="1">
      <x v="14"/>
    </i>
    <i r="1">
      <x v="15"/>
    </i>
    <i r="1">
      <x v="16"/>
    </i>
    <i r="1">
      <x v="34"/>
    </i>
    <i r="1">
      <x v="35"/>
    </i>
    <i r="1">
      <x v="36"/>
    </i>
    <i r="1">
      <x v="17"/>
    </i>
    <i r="1">
      <x v="18"/>
    </i>
    <i r="1">
      <x v="19"/>
    </i>
    <i r="1">
      <x v="20"/>
    </i>
    <i r="1">
      <x v="21"/>
    </i>
    <i r="1">
      <x v="37"/>
    </i>
    <i r="1">
      <x v="38"/>
    </i>
    <i r="1">
      <x v="22"/>
    </i>
    <i r="1">
      <x v="39"/>
    </i>
    <i r="1">
      <x v="40"/>
    </i>
    <i r="1">
      <x v="23"/>
    </i>
    <i r="1">
      <x v="24"/>
    </i>
    <i r="1">
      <x v="25"/>
    </i>
    <i r="1">
      <x v="26"/>
    </i>
    <i r="1">
      <x v="27"/>
    </i>
    <i r="1">
      <x v="28"/>
    </i>
    <i>
      <x v="2"/>
    </i>
    <i r="1">
      <x/>
    </i>
    <i r="1">
      <x v="1"/>
    </i>
    <i r="1">
      <x v="2"/>
    </i>
    <i r="1">
      <x v="3"/>
    </i>
    <i r="1">
      <x v="4"/>
    </i>
    <i r="1">
      <x v="5"/>
    </i>
    <i r="1">
      <x v="6"/>
    </i>
    <i r="1">
      <x v="7"/>
    </i>
    <i r="1">
      <x v="8"/>
    </i>
    <i r="1">
      <x v="9"/>
    </i>
    <i r="1">
      <x v="10"/>
    </i>
    <i r="1">
      <x v="11"/>
    </i>
    <i r="1">
      <x v="33"/>
    </i>
    <i r="1">
      <x v="12"/>
    </i>
    <i r="1">
      <x v="13"/>
    </i>
    <i r="1">
      <x v="14"/>
    </i>
    <i r="1">
      <x v="15"/>
    </i>
    <i r="1">
      <x v="16"/>
    </i>
    <i r="1">
      <x v="34"/>
    </i>
    <i r="1">
      <x v="35"/>
    </i>
    <i r="1">
      <x v="17"/>
    </i>
    <i r="1">
      <x v="18"/>
    </i>
    <i r="1">
      <x v="19"/>
    </i>
    <i r="1">
      <x v="20"/>
    </i>
    <i r="1">
      <x v="21"/>
    </i>
    <i r="1">
      <x v="37"/>
    </i>
    <i r="1">
      <x v="38"/>
    </i>
    <i r="1">
      <x v="22"/>
    </i>
    <i r="1">
      <x v="24"/>
    </i>
    <i r="1">
      <x v="25"/>
    </i>
    <i r="1">
      <x v="26"/>
    </i>
    <i r="1">
      <x v="27"/>
    </i>
    <i r="1">
      <x v="28"/>
    </i>
    <i t="grand">
      <x/>
    </i>
  </rowItems>
  <colItems count="1">
    <i/>
  </colItems>
  <dataFields count="1">
    <dataField name="Sum of Sales" fld="0"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80CE65-5CB4-4BC5-A201-F43CC2E9FE32}" name="Sum of Profit" cacheId="2193" applyNumberFormats="0" applyBorderFormats="0" applyFontFormats="0" applyPatternFormats="0" applyAlignmentFormats="0" applyWidthHeightFormats="1" dataCaption="Values" tag="36cb3bf8-3406-45c1-865a-3eb244d7020b" updatedVersion="8" minRefreshableVersion="3" useAutoFormatting="1" subtotalHiddenItems="1" itemPrintTitles="1" createdVersion="8" indent="0" outline="1" outlineData="1" multipleFieldFilters="0">
  <location ref="B19:B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5"/>
  </dataFields>
  <formats count="3">
    <format dxfId="2463">
      <pivotArea type="all" dataOnly="0" outline="0" fieldPosition="0"/>
    </format>
    <format dxfId="2464">
      <pivotArea outline="0" collapsedLevelsAreSubtotals="1" fieldPosition="0"/>
    </format>
    <format dxfId="2465">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69252F-0582-4A80-9A68-D00BB0B76FE2}" name="Sales By Persons" cacheId="2178" applyNumberFormats="0" applyBorderFormats="0" applyFontFormats="0" applyPatternFormats="0" applyAlignmentFormats="0" applyWidthHeightFormats="1" dataCaption="Values" tag="6b617cc7-155a-425d-ae38-888ad93f138d" updatedVersion="8" minRefreshableVersion="3" useAutoFormatting="1" subtotalHiddenItems="1" itemPrintTitles="1" createdVersion="8" indent="0" outline="1" outlineData="1" multipleFieldFilters="0" chartFormat="7" rowHeaderCaption="Sales By Persons">
  <location ref="V18:W2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5"/>
  </dataFields>
  <formats count="6">
    <format dxfId="2475">
      <pivotArea type="all" dataOnly="0" outline="0" fieldPosition="0"/>
    </format>
    <format dxfId="2476">
      <pivotArea outline="0" collapsedLevelsAreSubtotals="1" fieldPosition="0"/>
    </format>
    <format dxfId="2477">
      <pivotArea field="0" type="button" dataOnly="0" labelOnly="1" outline="0" axis="axisRow" fieldPosition="0"/>
    </format>
    <format dxfId="2478">
      <pivotArea dataOnly="0" labelOnly="1" fieldPosition="0">
        <references count="1">
          <reference field="0" count="0"/>
        </references>
      </pivotArea>
    </format>
    <format dxfId="2479">
      <pivotArea dataOnly="0" labelOnly="1" grandRow="1" outline="0" fieldPosition="0"/>
    </format>
    <format dxfId="248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F4EE70-D07B-43E1-9E0E-2E14DF4E1A72}" name="Sum of Discount" cacheId="2190" applyNumberFormats="0" applyBorderFormats="0" applyFontFormats="0" applyPatternFormats="0" applyAlignmentFormats="0" applyWidthHeightFormats="1" dataCaption="Values" tag="4b0f0fe8-8d66-4614-a406-2460b813807c" updatedVersion="8" minRefreshableVersion="3" useAutoFormatting="1" subtotalHiddenItems="1" itemPrintTitles="1" createdVersion="8" indent="0" outline="1" outlineData="1" multipleFieldFilters="0">
  <location ref="B14:B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fld="0"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8F9CEA-198B-4D6E-8F16-ECF6612EFD73}" name="top 10 states " cacheId="2199" applyNumberFormats="0" applyBorderFormats="0" applyFontFormats="0" applyPatternFormats="0" applyAlignmentFormats="0" applyWidthHeightFormats="1" dataCaption="Values" tag="6ad05770-e34e-4ce3-9ea7-1595f60e051a" updatedVersion="8" minRefreshableVersion="3" useAutoFormatting="1" subtotalHiddenItems="1" itemPrintTitles="1" createdVersion="8" indent="0" outline="1" outlineData="1" multipleFieldFilters="0" chartFormat="4" rowHeaderCaption="top 10 states ">
  <location ref="P18:Q29" firstHeaderRow="1" firstDataRow="1" firstDataCol="1"/>
  <pivotFields count="3">
    <pivotField axis="axisRow" allDrilled="1" subtotalTop="0" showAll="0" measureFilter="1" defaultSubtotal="0" defaultAttributeDrillState="1">
      <items count="10">
        <item x="2"/>
        <item x="8"/>
        <item x="0"/>
        <item x="1"/>
        <item x="4"/>
        <item x="5"/>
        <item x="6"/>
        <item x="7"/>
        <item x="3"/>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numFmtId="165"/>
  </dataFields>
  <formats count="6">
    <format dxfId="2451">
      <pivotArea type="all" dataOnly="0" outline="0" fieldPosition="0"/>
    </format>
    <format dxfId="2452">
      <pivotArea outline="0" collapsedLevelsAreSubtotals="1" fieldPosition="0"/>
    </format>
    <format dxfId="2453">
      <pivotArea field="0" type="button" dataOnly="0" labelOnly="1" outline="0" axis="axisRow" fieldPosition="0"/>
    </format>
    <format dxfId="2454">
      <pivotArea dataOnly="0" labelOnly="1" fieldPosition="0">
        <references count="1">
          <reference field="0" count="0"/>
        </references>
      </pivotArea>
    </format>
    <format dxfId="2455">
      <pivotArea dataOnly="0" labelOnly="1" grandRow="1" outline="0" fieldPosition="0"/>
    </format>
    <format dxfId="245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615D2B-CE0F-4492-811F-32BFC1C5AA05}" name="PivotTable14" cacheId="2172" applyNumberFormats="0" applyBorderFormats="0" applyFontFormats="0" applyPatternFormats="0" applyAlignmentFormats="0" applyWidthHeightFormats="1" dataCaption="Values" tag="f97b73f0-fe8d-4197-8d8c-7fc148ea9957" updatedVersion="8" minRefreshableVersion="3" subtotalHiddenItems="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6"/>
  </dataFields>
  <formats count="1">
    <format dxfId="2487">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BA2A90-A8A3-4286-AF67-895AED369EAC}" name="count of quantity by person" cacheId="2166" applyNumberFormats="0" applyBorderFormats="0" applyFontFormats="0" applyPatternFormats="0" applyAlignmentFormats="0" applyWidthHeightFormats="1" dataCaption="Values" tag="059ef354-5687-47f4-8800-5cc08965a05a" updatedVersion="8" minRefreshableVersion="3" useAutoFormatting="1" subtotalHiddenItems="1" itemPrintTitles="1" createdVersion="8" indent="0" outline="1" outlineData="1" multipleFieldFilters="0" chartFormat="7" rowHeaderCaption="sum of quantity by person">
  <location ref="AO18:AP23"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3"/>
    </i>
    <i>
      <x v="1"/>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Quantity"/>
    <pivotHierarchy dragToData="1" caption="Count of Quantity"/>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65FD5DAD-9C0A-4BFF-A6C9-53A57222FC2D}"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37393FC-3296-48B7-8E2C-7759A0890B8F}"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DB02F57F-038F-46DE-82CE-D22A06D9655F}" autoFormatId="16" applyNumberFormats="0" applyBorderFormats="0" applyFontFormats="0" applyPatternFormats="0" applyAlignmentFormats="0" applyWidthHeightFormats="0">
  <queryTableRefresh nextId="25">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COGS" tableColumnId="22"/>
      <queryTableField id="23" name="Net Sales" tableColumnId="23"/>
      <queryTableField id="24" name="Cost Per Unit"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1E8468-82AF-4E03-91E2-310DE64F8214}" sourceName="[Orders].[Region]">
  <pivotTables>
    <pivotTable tabId="1" name="net sales , discount , cogs"/>
    <pivotTable tabId="1" name="PivotTable14"/>
    <pivotTable tabId="1" name="Sales By Category"/>
    <pivotTable tabId="1" name="Sales By Persons"/>
    <pivotTable tabId="1" name="sales by states and category"/>
    <pivotTable tabId="1" name="Sum of COGS"/>
    <pivotTable tabId="1" name="Sum of Discount"/>
    <pivotTable tabId="1" name="Sum of Profit"/>
    <pivotTable tabId="1" name="Top 10 Cities By Sales"/>
    <pivotTable tabId="1" name="top 10 states "/>
  </pivotTables>
  <data>
    <olap pivotCacheId="388351563">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CE5181D3-3FF9-411B-A468-1A7CC5E0898D}" sourceName="[People].[Person]">
  <pivotTables>
    <pivotTable tabId="1" name="net sales , discount , cogs"/>
    <pivotTable tabId="1" name="PivotTable14"/>
    <pivotTable tabId="1" name="Sales By Category"/>
    <pivotTable tabId="1" name="Sales By Persons"/>
    <pivotTable tabId="1" name="sales by states and category"/>
    <pivotTable tabId="1" name="Sum of COGS"/>
    <pivotTable tabId="1" name="Sum of Discount"/>
    <pivotTable tabId="1" name="Sum of Profit"/>
    <pivotTable tabId="1" name="Top 10 Cities By Sales"/>
    <pivotTable tabId="1" name="top 10 states "/>
  </pivotTables>
  <data>
    <olap pivotCacheId="388351563">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1D45AB-55C4-40BE-A54B-73A85BDF594B}" sourceName="[Orders].[Category]">
  <pivotTables>
    <pivotTable tabId="1" name="count of quantity by person"/>
    <pivotTable tabId="1" name="net sales , discount , cogs"/>
    <pivotTable tabId="1" name="PivotTable14"/>
    <pivotTable tabId="1" name="Sales By Category"/>
    <pivotTable tabId="1" name="Sales By Persons"/>
    <pivotTable tabId="1" name="sales by regoin"/>
    <pivotTable tabId="1" name="sales by states and category"/>
    <pivotTable tabId="1" name="Sum of COGS"/>
    <pivotTable tabId="1" name="Sum of Discount"/>
    <pivotTable tabId="1" name="Sum of Profit"/>
    <pivotTable tabId="1" name="Top 10 Cities By Sales"/>
    <pivotTable tabId="1" name="top 10 states "/>
  </pivotTables>
  <data>
    <olap pivotCacheId="388351563">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C7FAB22D-8B80-4ACB-A957-9781E3330356}" sourceName="[Returns].[Returned]">
  <pivotTables>
    <pivotTable tabId="1" name="count of quantity by person"/>
    <pivotTable tabId="1" name="PivotTable14"/>
    <pivotTable tabId="1" name="Sales By Category"/>
    <pivotTable tabId="1" name="Sales By Persons"/>
    <pivotTable tabId="1" name="sales by regoin"/>
    <pivotTable tabId="1" name="sales by states and category"/>
    <pivotTable tabId="1" name="Sum of COGS"/>
    <pivotTable tabId="1" name="Sum of Discount"/>
    <pivotTable tabId="1" name="Sum of Profit"/>
    <pivotTable tabId="1" name="Top 10 Cities By Sales"/>
    <pivotTable tabId="1" name="top 10 states "/>
  </pivotTables>
  <data>
    <olap pivotCacheId="388351563">
      <levels count="2">
        <level uniqueName="[Returns].[Returned].[(All)]" sourceCaption="(All)" count="0"/>
        <level uniqueName="[Returns].[Returned].[Returned]" sourceCaption="Returned" count="2">
          <ranges>
            <range startItem="0">
              <i n="[Returns].[Returned].&amp;[Yes]" c="Yes"/>
              <i n="[Returns].[Returned].&amp;" c="(blank)"/>
            </range>
          </ranges>
        </level>
      </levels>
      <selections count="1">
        <selection n="[Returns].[Return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AFE3A4D-9D66-4DCD-82E9-A0FCD1A5DF65}" cache="Slicer_Region" caption="Region" columnCount="2" level="1" rowHeight="247650"/>
  <slicer name="Person" xr10:uid="{88E16FC7-EB78-4DE8-A059-5F2E6AF592BC}" cache="Slicer_Person" caption="Person" level="1" rowHeight="247650"/>
  <slicer name="Category" xr10:uid="{3B20F82B-88A0-492D-A66F-AA9C8369B5F4}" cache="Slicer_Category" caption="Category" level="1" rowHeight="247650"/>
  <slicer name="Returned" xr10:uid="{67C22188-7AED-472C-9219-0F4DFF45EE9D}" cache="Slicer_Returned" caption="Returned" columnCount="2"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D2ABA2-AB1F-42C1-A48C-0AA49A29E8A8}" name="Returns" displayName="Returns" ref="A1:B801" tableType="queryTable" totalsRowShown="0">
  <autoFilter ref="A1:B801" xr:uid="{85D2ABA2-AB1F-42C1-A48C-0AA49A29E8A8}"/>
  <tableColumns count="2">
    <tableColumn id="1" xr3:uid="{FB561E11-A474-4322-A6E3-34EAC7269F64}" uniqueName="1" name="Returned" queryTableFieldId="1" dataDxfId="2631"/>
    <tableColumn id="2" xr3:uid="{FA4C1877-5F2B-422E-B710-8C2012B93A59}" uniqueName="2" name="Order ID" queryTableFieldId="2" dataDxfId="26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F1E3AC-E59E-4127-889C-A32706482BCB}" name="People" displayName="People" ref="A1:B5" tableType="queryTable" totalsRowShown="0">
  <autoFilter ref="A1:B5" xr:uid="{4DF1E3AC-E59E-4127-889C-A32706482BCB}"/>
  <tableColumns count="2">
    <tableColumn id="1" xr3:uid="{0B80AF53-2199-4BED-8E41-59F9E61A082A}" uniqueName="1" name="Person" queryTableFieldId="1" dataDxfId="2629"/>
    <tableColumn id="2" xr3:uid="{CC21493C-09B8-4E6B-8760-ABE3A4B5ECC5}" uniqueName="2" name="Region" queryTableFieldId="2" dataDxfId="26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7D95B2-85ED-49C1-97EF-1D9FA0FA480C}" name="Orders" displayName="Orders" ref="A1:X794" tableType="queryTable" totalsRowShown="0">
  <autoFilter ref="A1:X794" xr:uid="{6A7D95B2-85ED-49C1-97EF-1D9FA0FA480C}"/>
  <tableColumns count="24">
    <tableColumn id="1" xr3:uid="{8E06124A-1580-40F5-9548-1E76C316BD07}" uniqueName="1" name="Row ID" queryTableFieldId="1" dataDxfId="2627"/>
    <tableColumn id="2" xr3:uid="{BF1D607C-546E-4648-A003-76345B54B866}" uniqueName="2" name="Order ID" queryTableFieldId="2" dataDxfId="2626"/>
    <tableColumn id="3" xr3:uid="{ADA17F86-DEAC-4372-9A3B-B1B954C090E8}" uniqueName="3" name="Order Date" queryTableFieldId="3" dataDxfId="2625"/>
    <tableColumn id="4" xr3:uid="{3824990D-6D0F-481A-87BD-F68699898EC0}" uniqueName="4" name="Ship Date" queryTableFieldId="4" dataDxfId="2624"/>
    <tableColumn id="5" xr3:uid="{A11C8CDD-D79E-4A71-81E0-92CEB57D6A8A}" uniqueName="5" name="Ship Mode" queryTableFieldId="5" dataDxfId="2623"/>
    <tableColumn id="6" xr3:uid="{F9D8DED5-75DF-41A0-A0FB-1CE520751A6C}" uniqueName="6" name="Customer ID" queryTableFieldId="6" dataDxfId="2622"/>
    <tableColumn id="7" xr3:uid="{28C1AEC9-E9B0-4CDF-B3D0-2647AC4F39E5}" uniqueName="7" name="Customer Name" queryTableFieldId="7" dataDxfId="2621"/>
    <tableColumn id="8" xr3:uid="{9D8D41C8-8F49-4D4F-9EC8-2E3BEBED3FFF}" uniqueName="8" name="Segment" queryTableFieldId="8" dataDxfId="2620"/>
    <tableColumn id="9" xr3:uid="{86860404-72E2-4E84-89F9-1532212110B9}" uniqueName="9" name="Country" queryTableFieldId="9" dataDxfId="2619"/>
    <tableColumn id="10" xr3:uid="{9F52FC79-CED6-4081-95F1-F0E3661BF126}" uniqueName="10" name="City" queryTableFieldId="10" dataDxfId="2618"/>
    <tableColumn id="11" xr3:uid="{57BB7FF5-B6D3-4E85-9D93-4ADC6E80EEBB}" uniqueName="11" name="State" queryTableFieldId="11" dataDxfId="2617"/>
    <tableColumn id="12" xr3:uid="{E7724743-36DE-4016-B05B-4933BC98A098}" uniqueName="12" name="Postal Code" queryTableFieldId="12" dataDxfId="2616"/>
    <tableColumn id="13" xr3:uid="{4716150F-86A9-4B39-815E-ACAB9C0D0E1C}" uniqueName="13" name="Region" queryTableFieldId="13" dataDxfId="2615"/>
    <tableColumn id="14" xr3:uid="{39905258-AA01-45AF-92E3-67CEBC9C9577}" uniqueName="14" name="Product ID" queryTableFieldId="14" dataDxfId="2614"/>
    <tableColumn id="15" xr3:uid="{297ED7B4-C13F-4844-A8FD-D4119AD55009}" uniqueName="15" name="Category" queryTableFieldId="15" dataDxfId="2613"/>
    <tableColumn id="16" xr3:uid="{FBDC7053-6CA4-4440-B684-F804861F4A0B}" uniqueName="16" name="Sub-Category" queryTableFieldId="16" dataDxfId="2612"/>
    <tableColumn id="17" xr3:uid="{E67C75E0-9959-4EB7-8071-A8F7F88791CF}" uniqueName="17" name="Product Name" queryTableFieldId="17" dataDxfId="2611"/>
    <tableColumn id="18" xr3:uid="{8D52D73F-8CFB-410A-9A25-B0D949D1B276}" uniqueName="18" name="Sales" queryTableFieldId="18"/>
    <tableColumn id="19" xr3:uid="{54EB617D-6238-4950-955A-0482BB87C819}" uniqueName="19" name="Quantity" queryTableFieldId="19"/>
    <tableColumn id="20" xr3:uid="{5DEBDDBC-6F80-4C96-9E4A-D8FC06FA1DEB}" uniqueName="20" name="Discount" queryTableFieldId="20"/>
    <tableColumn id="21" xr3:uid="{6C1110DB-D1F2-4E53-BC9F-C66ED6DBBEC8}" uniqueName="21" name="Profit" queryTableFieldId="21"/>
    <tableColumn id="22" xr3:uid="{CEBEE4EB-4B1E-4B97-8A42-1D883D201B95}" uniqueName="22" name="COGS" queryTableFieldId="22"/>
    <tableColumn id="23" xr3:uid="{0F810F8E-B50F-4628-8016-DE0B23226612}" uniqueName="23" name="Net Sales" queryTableFieldId="23"/>
    <tableColumn id="24" xr3:uid="{A4D7E8E9-E9AB-4FA3-A87C-6080F7BC3C62}" uniqueName="24" name="Cost Per Unit"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9DE3-2A73-46C3-9B45-460543CF6E15}">
  <dimension ref="A1:B801"/>
  <sheetViews>
    <sheetView workbookViewId="0">
      <selection activeCell="A2" sqref="A2"/>
    </sheetView>
  </sheetViews>
  <sheetFormatPr defaultRowHeight="14.4" x14ac:dyDescent="0.3"/>
  <cols>
    <col min="1" max="1" width="10.77734375" bestFit="1" customWidth="1"/>
    <col min="2" max="2" width="14.77734375" bestFit="1" customWidth="1"/>
  </cols>
  <sheetData>
    <row r="1" spans="1:2" x14ac:dyDescent="0.3">
      <c r="A1" t="s">
        <v>5108</v>
      </c>
      <c r="B1" t="s">
        <v>1</v>
      </c>
    </row>
    <row r="2" spans="1:2" x14ac:dyDescent="0.3">
      <c r="A2" t="s">
        <v>5109</v>
      </c>
      <c r="B2" t="s">
        <v>5110</v>
      </c>
    </row>
    <row r="3" spans="1:2" x14ac:dyDescent="0.3">
      <c r="A3" t="s">
        <v>5109</v>
      </c>
      <c r="B3" t="s">
        <v>5110</v>
      </c>
    </row>
    <row r="4" spans="1:2" x14ac:dyDescent="0.3">
      <c r="A4" t="s">
        <v>5109</v>
      </c>
      <c r="B4" t="s">
        <v>5110</v>
      </c>
    </row>
    <row r="5" spans="1:2" x14ac:dyDescent="0.3">
      <c r="A5" t="s">
        <v>5109</v>
      </c>
      <c r="B5" t="s">
        <v>5110</v>
      </c>
    </row>
    <row r="6" spans="1:2" x14ac:dyDescent="0.3">
      <c r="A6" t="s">
        <v>5109</v>
      </c>
      <c r="B6" t="s">
        <v>5111</v>
      </c>
    </row>
    <row r="7" spans="1:2" x14ac:dyDescent="0.3">
      <c r="A7" t="s">
        <v>5109</v>
      </c>
      <c r="B7" t="s">
        <v>5112</v>
      </c>
    </row>
    <row r="8" spans="1:2" x14ac:dyDescent="0.3">
      <c r="A8" t="s">
        <v>5109</v>
      </c>
      <c r="B8" t="s">
        <v>5112</v>
      </c>
    </row>
    <row r="9" spans="1:2" x14ac:dyDescent="0.3">
      <c r="A9" t="s">
        <v>5109</v>
      </c>
      <c r="B9" t="s">
        <v>5112</v>
      </c>
    </row>
    <row r="10" spans="1:2" x14ac:dyDescent="0.3">
      <c r="A10" t="s">
        <v>5109</v>
      </c>
      <c r="B10" t="s">
        <v>5112</v>
      </c>
    </row>
    <row r="11" spans="1:2" x14ac:dyDescent="0.3">
      <c r="A11" t="s">
        <v>5109</v>
      </c>
      <c r="B11" t="s">
        <v>5113</v>
      </c>
    </row>
    <row r="12" spans="1:2" x14ac:dyDescent="0.3">
      <c r="A12" t="s">
        <v>5109</v>
      </c>
      <c r="B12" t="s">
        <v>5114</v>
      </c>
    </row>
    <row r="13" spans="1:2" x14ac:dyDescent="0.3">
      <c r="A13" t="s">
        <v>5109</v>
      </c>
      <c r="B13" t="s">
        <v>5114</v>
      </c>
    </row>
    <row r="14" spans="1:2" x14ac:dyDescent="0.3">
      <c r="A14" t="s">
        <v>5109</v>
      </c>
      <c r="B14" t="s">
        <v>5115</v>
      </c>
    </row>
    <row r="15" spans="1:2" x14ac:dyDescent="0.3">
      <c r="A15" t="s">
        <v>5109</v>
      </c>
      <c r="B15" t="s">
        <v>5115</v>
      </c>
    </row>
    <row r="16" spans="1:2" x14ac:dyDescent="0.3">
      <c r="A16" t="s">
        <v>5109</v>
      </c>
      <c r="B16" t="s">
        <v>5115</v>
      </c>
    </row>
    <row r="17" spans="1:2" x14ac:dyDescent="0.3">
      <c r="A17" t="s">
        <v>5109</v>
      </c>
      <c r="B17" t="s">
        <v>5115</v>
      </c>
    </row>
    <row r="18" spans="1:2" x14ac:dyDescent="0.3">
      <c r="A18" t="s">
        <v>5109</v>
      </c>
      <c r="B18" t="s">
        <v>5116</v>
      </c>
    </row>
    <row r="19" spans="1:2" x14ac:dyDescent="0.3">
      <c r="A19" t="s">
        <v>5109</v>
      </c>
      <c r="B19" t="s">
        <v>5117</v>
      </c>
    </row>
    <row r="20" spans="1:2" x14ac:dyDescent="0.3">
      <c r="A20" t="s">
        <v>5109</v>
      </c>
      <c r="B20" t="s">
        <v>5117</v>
      </c>
    </row>
    <row r="21" spans="1:2" x14ac:dyDescent="0.3">
      <c r="A21" t="s">
        <v>5109</v>
      </c>
      <c r="B21" t="s">
        <v>5118</v>
      </c>
    </row>
    <row r="22" spans="1:2" x14ac:dyDescent="0.3">
      <c r="A22" t="s">
        <v>5109</v>
      </c>
      <c r="B22" t="s">
        <v>5119</v>
      </c>
    </row>
    <row r="23" spans="1:2" x14ac:dyDescent="0.3">
      <c r="A23" t="s">
        <v>5109</v>
      </c>
      <c r="B23" t="s">
        <v>5120</v>
      </c>
    </row>
    <row r="24" spans="1:2" x14ac:dyDescent="0.3">
      <c r="A24" t="s">
        <v>5109</v>
      </c>
      <c r="B24" t="s">
        <v>5120</v>
      </c>
    </row>
    <row r="25" spans="1:2" x14ac:dyDescent="0.3">
      <c r="A25" t="s">
        <v>5109</v>
      </c>
      <c r="B25" t="s">
        <v>5120</v>
      </c>
    </row>
    <row r="26" spans="1:2" x14ac:dyDescent="0.3">
      <c r="A26" t="s">
        <v>5109</v>
      </c>
      <c r="B26" t="s">
        <v>5121</v>
      </c>
    </row>
    <row r="27" spans="1:2" x14ac:dyDescent="0.3">
      <c r="A27" t="s">
        <v>5109</v>
      </c>
      <c r="B27" t="s">
        <v>5121</v>
      </c>
    </row>
    <row r="28" spans="1:2" x14ac:dyDescent="0.3">
      <c r="A28" t="s">
        <v>5109</v>
      </c>
      <c r="B28" t="s">
        <v>5121</v>
      </c>
    </row>
    <row r="29" spans="1:2" x14ac:dyDescent="0.3">
      <c r="A29" t="s">
        <v>5109</v>
      </c>
      <c r="B29" t="s">
        <v>5121</v>
      </c>
    </row>
    <row r="30" spans="1:2" x14ac:dyDescent="0.3">
      <c r="A30" t="s">
        <v>5109</v>
      </c>
      <c r="B30" t="s">
        <v>5121</v>
      </c>
    </row>
    <row r="31" spans="1:2" x14ac:dyDescent="0.3">
      <c r="A31" t="s">
        <v>5109</v>
      </c>
      <c r="B31" t="s">
        <v>5121</v>
      </c>
    </row>
    <row r="32" spans="1:2" x14ac:dyDescent="0.3">
      <c r="A32" t="s">
        <v>5109</v>
      </c>
      <c r="B32" t="s">
        <v>5121</v>
      </c>
    </row>
    <row r="33" spans="1:2" x14ac:dyDescent="0.3">
      <c r="A33" t="s">
        <v>5109</v>
      </c>
      <c r="B33" t="s">
        <v>5122</v>
      </c>
    </row>
    <row r="34" spans="1:2" x14ac:dyDescent="0.3">
      <c r="A34" t="s">
        <v>5109</v>
      </c>
      <c r="B34" t="s">
        <v>5123</v>
      </c>
    </row>
    <row r="35" spans="1:2" x14ac:dyDescent="0.3">
      <c r="A35" t="s">
        <v>5109</v>
      </c>
      <c r="B35" t="s">
        <v>5123</v>
      </c>
    </row>
    <row r="36" spans="1:2" x14ac:dyDescent="0.3">
      <c r="A36" t="s">
        <v>5109</v>
      </c>
      <c r="B36" t="s">
        <v>5124</v>
      </c>
    </row>
    <row r="37" spans="1:2" x14ac:dyDescent="0.3">
      <c r="A37" t="s">
        <v>5109</v>
      </c>
      <c r="B37" t="s">
        <v>5124</v>
      </c>
    </row>
    <row r="38" spans="1:2" x14ac:dyDescent="0.3">
      <c r="A38" t="s">
        <v>5109</v>
      </c>
      <c r="B38" t="s">
        <v>5125</v>
      </c>
    </row>
    <row r="39" spans="1:2" x14ac:dyDescent="0.3">
      <c r="A39" t="s">
        <v>5109</v>
      </c>
      <c r="B39" t="s">
        <v>5126</v>
      </c>
    </row>
    <row r="40" spans="1:2" x14ac:dyDescent="0.3">
      <c r="A40" t="s">
        <v>5109</v>
      </c>
      <c r="B40" t="s">
        <v>5126</v>
      </c>
    </row>
    <row r="41" spans="1:2" x14ac:dyDescent="0.3">
      <c r="A41" t="s">
        <v>5109</v>
      </c>
      <c r="B41" t="s">
        <v>5127</v>
      </c>
    </row>
    <row r="42" spans="1:2" x14ac:dyDescent="0.3">
      <c r="A42" t="s">
        <v>5109</v>
      </c>
      <c r="B42" t="s">
        <v>5127</v>
      </c>
    </row>
    <row r="43" spans="1:2" x14ac:dyDescent="0.3">
      <c r="A43" t="s">
        <v>5109</v>
      </c>
      <c r="B43" t="s">
        <v>5127</v>
      </c>
    </row>
    <row r="44" spans="1:2" x14ac:dyDescent="0.3">
      <c r="A44" t="s">
        <v>5109</v>
      </c>
      <c r="B44" t="s">
        <v>5128</v>
      </c>
    </row>
    <row r="45" spans="1:2" x14ac:dyDescent="0.3">
      <c r="A45" t="s">
        <v>5109</v>
      </c>
      <c r="B45" t="s">
        <v>5128</v>
      </c>
    </row>
    <row r="46" spans="1:2" x14ac:dyDescent="0.3">
      <c r="A46" t="s">
        <v>5109</v>
      </c>
      <c r="B46" t="s">
        <v>5128</v>
      </c>
    </row>
    <row r="47" spans="1:2" x14ac:dyDescent="0.3">
      <c r="A47" t="s">
        <v>5109</v>
      </c>
      <c r="B47" t="s">
        <v>5128</v>
      </c>
    </row>
    <row r="48" spans="1:2" x14ac:dyDescent="0.3">
      <c r="A48" t="s">
        <v>5109</v>
      </c>
      <c r="B48" t="s">
        <v>5128</v>
      </c>
    </row>
    <row r="49" spans="1:2" x14ac:dyDescent="0.3">
      <c r="A49" t="s">
        <v>5109</v>
      </c>
      <c r="B49" t="s">
        <v>5128</v>
      </c>
    </row>
    <row r="50" spans="1:2" x14ac:dyDescent="0.3">
      <c r="A50" t="s">
        <v>5109</v>
      </c>
      <c r="B50" t="s">
        <v>4264</v>
      </c>
    </row>
    <row r="51" spans="1:2" x14ac:dyDescent="0.3">
      <c r="A51" t="s">
        <v>5109</v>
      </c>
      <c r="B51" t="s">
        <v>4264</v>
      </c>
    </row>
    <row r="52" spans="1:2" x14ac:dyDescent="0.3">
      <c r="A52" t="s">
        <v>5109</v>
      </c>
      <c r="B52" t="s">
        <v>4264</v>
      </c>
    </row>
    <row r="53" spans="1:2" x14ac:dyDescent="0.3">
      <c r="A53" t="s">
        <v>5109</v>
      </c>
      <c r="B53" t="s">
        <v>4264</v>
      </c>
    </row>
    <row r="54" spans="1:2" x14ac:dyDescent="0.3">
      <c r="A54" t="s">
        <v>5109</v>
      </c>
      <c r="B54" t="s">
        <v>2777</v>
      </c>
    </row>
    <row r="55" spans="1:2" x14ac:dyDescent="0.3">
      <c r="A55" t="s">
        <v>5109</v>
      </c>
      <c r="B55" t="s">
        <v>2849</v>
      </c>
    </row>
    <row r="56" spans="1:2" x14ac:dyDescent="0.3">
      <c r="A56" t="s">
        <v>5109</v>
      </c>
      <c r="B56" t="s">
        <v>2849</v>
      </c>
    </row>
    <row r="57" spans="1:2" x14ac:dyDescent="0.3">
      <c r="A57" t="s">
        <v>5109</v>
      </c>
      <c r="B57" t="s">
        <v>2849</v>
      </c>
    </row>
    <row r="58" spans="1:2" x14ac:dyDescent="0.3">
      <c r="A58" t="s">
        <v>5109</v>
      </c>
      <c r="B58" t="s">
        <v>2807</v>
      </c>
    </row>
    <row r="59" spans="1:2" x14ac:dyDescent="0.3">
      <c r="A59" t="s">
        <v>5109</v>
      </c>
      <c r="B59" t="s">
        <v>2807</v>
      </c>
    </row>
    <row r="60" spans="1:2" x14ac:dyDescent="0.3">
      <c r="A60" t="s">
        <v>5109</v>
      </c>
      <c r="B60" t="s">
        <v>2807</v>
      </c>
    </row>
    <row r="61" spans="1:2" x14ac:dyDescent="0.3">
      <c r="A61" t="s">
        <v>5109</v>
      </c>
      <c r="B61" t="s">
        <v>2807</v>
      </c>
    </row>
    <row r="62" spans="1:2" x14ac:dyDescent="0.3">
      <c r="A62" t="s">
        <v>5109</v>
      </c>
      <c r="B62" t="s">
        <v>771</v>
      </c>
    </row>
    <row r="63" spans="1:2" x14ac:dyDescent="0.3">
      <c r="A63" t="s">
        <v>5109</v>
      </c>
      <c r="B63" t="s">
        <v>771</v>
      </c>
    </row>
    <row r="64" spans="1:2" x14ac:dyDescent="0.3">
      <c r="A64" t="s">
        <v>5109</v>
      </c>
      <c r="B64" t="s">
        <v>5129</v>
      </c>
    </row>
    <row r="65" spans="1:2" x14ac:dyDescent="0.3">
      <c r="A65" t="s">
        <v>5109</v>
      </c>
      <c r="B65" t="s">
        <v>5129</v>
      </c>
    </row>
    <row r="66" spans="1:2" x14ac:dyDescent="0.3">
      <c r="A66" t="s">
        <v>5109</v>
      </c>
      <c r="B66" t="s">
        <v>5130</v>
      </c>
    </row>
    <row r="67" spans="1:2" x14ac:dyDescent="0.3">
      <c r="A67" t="s">
        <v>5109</v>
      </c>
      <c r="B67" t="s">
        <v>3463</v>
      </c>
    </row>
    <row r="68" spans="1:2" x14ac:dyDescent="0.3">
      <c r="A68" t="s">
        <v>5109</v>
      </c>
      <c r="B68" t="s">
        <v>3463</v>
      </c>
    </row>
    <row r="69" spans="1:2" x14ac:dyDescent="0.3">
      <c r="A69" t="s">
        <v>5109</v>
      </c>
      <c r="B69" t="s">
        <v>5131</v>
      </c>
    </row>
    <row r="70" spans="1:2" x14ac:dyDescent="0.3">
      <c r="A70" t="s">
        <v>5109</v>
      </c>
      <c r="B70" t="s">
        <v>5132</v>
      </c>
    </row>
    <row r="71" spans="1:2" x14ac:dyDescent="0.3">
      <c r="A71" t="s">
        <v>5109</v>
      </c>
      <c r="B71" t="s">
        <v>5132</v>
      </c>
    </row>
    <row r="72" spans="1:2" x14ac:dyDescent="0.3">
      <c r="A72" t="s">
        <v>5109</v>
      </c>
      <c r="B72" t="s">
        <v>5132</v>
      </c>
    </row>
    <row r="73" spans="1:2" x14ac:dyDescent="0.3">
      <c r="A73" t="s">
        <v>5109</v>
      </c>
      <c r="B73" t="s">
        <v>5132</v>
      </c>
    </row>
    <row r="74" spans="1:2" x14ac:dyDescent="0.3">
      <c r="A74" t="s">
        <v>5109</v>
      </c>
      <c r="B74" t="s">
        <v>5133</v>
      </c>
    </row>
    <row r="75" spans="1:2" x14ac:dyDescent="0.3">
      <c r="A75" t="s">
        <v>5109</v>
      </c>
      <c r="B75" t="s">
        <v>5133</v>
      </c>
    </row>
    <row r="76" spans="1:2" x14ac:dyDescent="0.3">
      <c r="A76" t="s">
        <v>5109</v>
      </c>
      <c r="B76" t="s">
        <v>5133</v>
      </c>
    </row>
    <row r="77" spans="1:2" x14ac:dyDescent="0.3">
      <c r="A77" t="s">
        <v>5109</v>
      </c>
      <c r="B77" t="s">
        <v>5133</v>
      </c>
    </row>
    <row r="78" spans="1:2" x14ac:dyDescent="0.3">
      <c r="A78" t="s">
        <v>5109</v>
      </c>
      <c r="B78" t="s">
        <v>5133</v>
      </c>
    </row>
    <row r="79" spans="1:2" x14ac:dyDescent="0.3">
      <c r="A79" t="s">
        <v>5109</v>
      </c>
      <c r="B79" t="s">
        <v>5133</v>
      </c>
    </row>
    <row r="80" spans="1:2" x14ac:dyDescent="0.3">
      <c r="A80" t="s">
        <v>5109</v>
      </c>
      <c r="B80" t="s">
        <v>5133</v>
      </c>
    </row>
    <row r="81" spans="1:2" x14ac:dyDescent="0.3">
      <c r="A81" t="s">
        <v>5109</v>
      </c>
      <c r="B81" t="s">
        <v>5133</v>
      </c>
    </row>
    <row r="82" spans="1:2" x14ac:dyDescent="0.3">
      <c r="A82" t="s">
        <v>5109</v>
      </c>
      <c r="B82" t="s">
        <v>123</v>
      </c>
    </row>
    <row r="83" spans="1:2" x14ac:dyDescent="0.3">
      <c r="A83" t="s">
        <v>5109</v>
      </c>
      <c r="B83" t="s">
        <v>123</v>
      </c>
    </row>
    <row r="84" spans="1:2" x14ac:dyDescent="0.3">
      <c r="A84" t="s">
        <v>5109</v>
      </c>
      <c r="B84" t="s">
        <v>123</v>
      </c>
    </row>
    <row r="85" spans="1:2" x14ac:dyDescent="0.3">
      <c r="A85" t="s">
        <v>5109</v>
      </c>
      <c r="B85" t="s">
        <v>4573</v>
      </c>
    </row>
    <row r="86" spans="1:2" x14ac:dyDescent="0.3">
      <c r="A86" t="s">
        <v>5109</v>
      </c>
      <c r="B86" t="s">
        <v>4573</v>
      </c>
    </row>
    <row r="87" spans="1:2" x14ac:dyDescent="0.3">
      <c r="A87" t="s">
        <v>5109</v>
      </c>
      <c r="B87" t="s">
        <v>5134</v>
      </c>
    </row>
    <row r="88" spans="1:2" x14ac:dyDescent="0.3">
      <c r="A88" t="s">
        <v>5109</v>
      </c>
      <c r="B88" t="s">
        <v>5134</v>
      </c>
    </row>
    <row r="89" spans="1:2" x14ac:dyDescent="0.3">
      <c r="A89" t="s">
        <v>5109</v>
      </c>
      <c r="B89" t="s">
        <v>3738</v>
      </c>
    </row>
    <row r="90" spans="1:2" x14ac:dyDescent="0.3">
      <c r="A90" t="s">
        <v>5109</v>
      </c>
      <c r="B90" t="s">
        <v>3738</v>
      </c>
    </row>
    <row r="91" spans="1:2" x14ac:dyDescent="0.3">
      <c r="A91" t="s">
        <v>5109</v>
      </c>
      <c r="B91" t="s">
        <v>3738</v>
      </c>
    </row>
    <row r="92" spans="1:2" x14ac:dyDescent="0.3">
      <c r="A92" t="s">
        <v>5109</v>
      </c>
      <c r="B92" t="s">
        <v>5135</v>
      </c>
    </row>
    <row r="93" spans="1:2" x14ac:dyDescent="0.3">
      <c r="A93" t="s">
        <v>5109</v>
      </c>
      <c r="B93" t="s">
        <v>5135</v>
      </c>
    </row>
    <row r="94" spans="1:2" x14ac:dyDescent="0.3">
      <c r="A94" t="s">
        <v>5109</v>
      </c>
      <c r="B94" t="s">
        <v>5135</v>
      </c>
    </row>
    <row r="95" spans="1:2" x14ac:dyDescent="0.3">
      <c r="A95" t="s">
        <v>5109</v>
      </c>
      <c r="B95" t="s">
        <v>5135</v>
      </c>
    </row>
    <row r="96" spans="1:2" x14ac:dyDescent="0.3">
      <c r="A96" t="s">
        <v>5109</v>
      </c>
      <c r="B96" t="s">
        <v>5135</v>
      </c>
    </row>
    <row r="97" spans="1:2" x14ac:dyDescent="0.3">
      <c r="A97" t="s">
        <v>5109</v>
      </c>
      <c r="B97" t="s">
        <v>5136</v>
      </c>
    </row>
    <row r="98" spans="1:2" x14ac:dyDescent="0.3">
      <c r="A98" t="s">
        <v>5109</v>
      </c>
      <c r="B98" t="s">
        <v>5136</v>
      </c>
    </row>
    <row r="99" spans="1:2" x14ac:dyDescent="0.3">
      <c r="A99" t="s">
        <v>5109</v>
      </c>
      <c r="B99" t="s">
        <v>5137</v>
      </c>
    </row>
    <row r="100" spans="1:2" x14ac:dyDescent="0.3">
      <c r="A100" t="s">
        <v>5109</v>
      </c>
      <c r="B100" t="s">
        <v>3418</v>
      </c>
    </row>
    <row r="101" spans="1:2" x14ac:dyDescent="0.3">
      <c r="A101" t="s">
        <v>5109</v>
      </c>
      <c r="B101" t="s">
        <v>3418</v>
      </c>
    </row>
    <row r="102" spans="1:2" x14ac:dyDescent="0.3">
      <c r="A102" t="s">
        <v>5109</v>
      </c>
      <c r="B102" t="s">
        <v>3418</v>
      </c>
    </row>
    <row r="103" spans="1:2" x14ac:dyDescent="0.3">
      <c r="A103" t="s">
        <v>5109</v>
      </c>
      <c r="B103" t="s">
        <v>5138</v>
      </c>
    </row>
    <row r="104" spans="1:2" x14ac:dyDescent="0.3">
      <c r="A104" t="s">
        <v>5109</v>
      </c>
      <c r="B104" t="s">
        <v>5138</v>
      </c>
    </row>
    <row r="105" spans="1:2" x14ac:dyDescent="0.3">
      <c r="A105" t="s">
        <v>5109</v>
      </c>
      <c r="B105" t="s">
        <v>5139</v>
      </c>
    </row>
    <row r="106" spans="1:2" x14ac:dyDescent="0.3">
      <c r="A106" t="s">
        <v>5109</v>
      </c>
      <c r="B106" t="s">
        <v>5140</v>
      </c>
    </row>
    <row r="107" spans="1:2" x14ac:dyDescent="0.3">
      <c r="A107" t="s">
        <v>5109</v>
      </c>
      <c r="B107" t="s">
        <v>5140</v>
      </c>
    </row>
    <row r="108" spans="1:2" x14ac:dyDescent="0.3">
      <c r="A108" t="s">
        <v>5109</v>
      </c>
      <c r="B108" t="s">
        <v>5140</v>
      </c>
    </row>
    <row r="109" spans="1:2" x14ac:dyDescent="0.3">
      <c r="A109" t="s">
        <v>5109</v>
      </c>
      <c r="B109" t="s">
        <v>5140</v>
      </c>
    </row>
    <row r="110" spans="1:2" x14ac:dyDescent="0.3">
      <c r="A110" t="s">
        <v>5109</v>
      </c>
      <c r="B110" t="s">
        <v>5140</v>
      </c>
    </row>
    <row r="111" spans="1:2" x14ac:dyDescent="0.3">
      <c r="A111" t="s">
        <v>5109</v>
      </c>
      <c r="B111" t="s">
        <v>5140</v>
      </c>
    </row>
    <row r="112" spans="1:2" x14ac:dyDescent="0.3">
      <c r="A112" t="s">
        <v>5109</v>
      </c>
      <c r="B112" t="s">
        <v>5140</v>
      </c>
    </row>
    <row r="113" spans="1:2" x14ac:dyDescent="0.3">
      <c r="A113" t="s">
        <v>5109</v>
      </c>
      <c r="B113" t="s">
        <v>2966</v>
      </c>
    </row>
    <row r="114" spans="1:2" x14ac:dyDescent="0.3">
      <c r="A114" t="s">
        <v>5109</v>
      </c>
      <c r="B114" t="s">
        <v>2966</v>
      </c>
    </row>
    <row r="115" spans="1:2" x14ac:dyDescent="0.3">
      <c r="A115" t="s">
        <v>5109</v>
      </c>
      <c r="B115" t="s">
        <v>5141</v>
      </c>
    </row>
    <row r="116" spans="1:2" x14ac:dyDescent="0.3">
      <c r="A116" t="s">
        <v>5109</v>
      </c>
      <c r="B116" t="s">
        <v>5141</v>
      </c>
    </row>
    <row r="117" spans="1:2" x14ac:dyDescent="0.3">
      <c r="A117" t="s">
        <v>5109</v>
      </c>
      <c r="B117" t="s">
        <v>5141</v>
      </c>
    </row>
    <row r="118" spans="1:2" x14ac:dyDescent="0.3">
      <c r="A118" t="s">
        <v>5109</v>
      </c>
      <c r="B118" t="s">
        <v>4219</v>
      </c>
    </row>
    <row r="119" spans="1:2" x14ac:dyDescent="0.3">
      <c r="A119" t="s">
        <v>5109</v>
      </c>
      <c r="B119" t="s">
        <v>5142</v>
      </c>
    </row>
    <row r="120" spans="1:2" x14ac:dyDescent="0.3">
      <c r="A120" t="s">
        <v>5109</v>
      </c>
      <c r="B120" t="s">
        <v>5142</v>
      </c>
    </row>
    <row r="121" spans="1:2" x14ac:dyDescent="0.3">
      <c r="A121" t="s">
        <v>5109</v>
      </c>
      <c r="B121" t="s">
        <v>5142</v>
      </c>
    </row>
    <row r="122" spans="1:2" x14ac:dyDescent="0.3">
      <c r="A122" t="s">
        <v>5109</v>
      </c>
      <c r="B122" t="s">
        <v>5143</v>
      </c>
    </row>
    <row r="123" spans="1:2" x14ac:dyDescent="0.3">
      <c r="A123" t="s">
        <v>5109</v>
      </c>
      <c r="B123" t="s">
        <v>5143</v>
      </c>
    </row>
    <row r="124" spans="1:2" x14ac:dyDescent="0.3">
      <c r="A124" t="s">
        <v>5109</v>
      </c>
      <c r="B124" t="s">
        <v>5143</v>
      </c>
    </row>
    <row r="125" spans="1:2" x14ac:dyDescent="0.3">
      <c r="A125" t="s">
        <v>5109</v>
      </c>
      <c r="B125" t="s">
        <v>5143</v>
      </c>
    </row>
    <row r="126" spans="1:2" x14ac:dyDescent="0.3">
      <c r="A126" t="s">
        <v>5109</v>
      </c>
      <c r="B126" t="s">
        <v>5143</v>
      </c>
    </row>
    <row r="127" spans="1:2" x14ac:dyDescent="0.3">
      <c r="A127" t="s">
        <v>5109</v>
      </c>
      <c r="B127" t="s">
        <v>5143</v>
      </c>
    </row>
    <row r="128" spans="1:2" x14ac:dyDescent="0.3">
      <c r="A128" t="s">
        <v>5109</v>
      </c>
      <c r="B128" t="s">
        <v>2182</v>
      </c>
    </row>
    <row r="129" spans="1:2" x14ac:dyDescent="0.3">
      <c r="A129" t="s">
        <v>5109</v>
      </c>
      <c r="B129" t="s">
        <v>5144</v>
      </c>
    </row>
    <row r="130" spans="1:2" x14ac:dyDescent="0.3">
      <c r="A130" t="s">
        <v>5109</v>
      </c>
      <c r="B130" t="s">
        <v>5144</v>
      </c>
    </row>
    <row r="131" spans="1:2" x14ac:dyDescent="0.3">
      <c r="A131" t="s">
        <v>5109</v>
      </c>
      <c r="B131" t="s">
        <v>5145</v>
      </c>
    </row>
    <row r="132" spans="1:2" x14ac:dyDescent="0.3">
      <c r="A132" t="s">
        <v>5109</v>
      </c>
      <c r="B132" t="s">
        <v>5145</v>
      </c>
    </row>
    <row r="133" spans="1:2" x14ac:dyDescent="0.3">
      <c r="A133" t="s">
        <v>5109</v>
      </c>
      <c r="B133" t="s">
        <v>5146</v>
      </c>
    </row>
    <row r="134" spans="1:2" x14ac:dyDescent="0.3">
      <c r="A134" t="s">
        <v>5109</v>
      </c>
      <c r="B134" t="s">
        <v>5146</v>
      </c>
    </row>
    <row r="135" spans="1:2" x14ac:dyDescent="0.3">
      <c r="A135" t="s">
        <v>5109</v>
      </c>
      <c r="B135" t="s">
        <v>5147</v>
      </c>
    </row>
    <row r="136" spans="1:2" x14ac:dyDescent="0.3">
      <c r="A136" t="s">
        <v>5109</v>
      </c>
      <c r="B136" t="s">
        <v>5147</v>
      </c>
    </row>
    <row r="137" spans="1:2" x14ac:dyDescent="0.3">
      <c r="A137" t="s">
        <v>5109</v>
      </c>
      <c r="B137" t="s">
        <v>5147</v>
      </c>
    </row>
    <row r="138" spans="1:2" x14ac:dyDescent="0.3">
      <c r="A138" t="s">
        <v>5109</v>
      </c>
      <c r="B138" t="s">
        <v>5147</v>
      </c>
    </row>
    <row r="139" spans="1:2" x14ac:dyDescent="0.3">
      <c r="A139" t="s">
        <v>5109</v>
      </c>
      <c r="B139" t="s">
        <v>5148</v>
      </c>
    </row>
    <row r="140" spans="1:2" x14ac:dyDescent="0.3">
      <c r="A140" t="s">
        <v>5109</v>
      </c>
      <c r="B140" t="s">
        <v>5149</v>
      </c>
    </row>
    <row r="141" spans="1:2" x14ac:dyDescent="0.3">
      <c r="A141" t="s">
        <v>5109</v>
      </c>
      <c r="B141" t="s">
        <v>5149</v>
      </c>
    </row>
    <row r="142" spans="1:2" x14ac:dyDescent="0.3">
      <c r="A142" t="s">
        <v>5109</v>
      </c>
      <c r="B142" t="s">
        <v>5149</v>
      </c>
    </row>
    <row r="143" spans="1:2" x14ac:dyDescent="0.3">
      <c r="A143" t="s">
        <v>5109</v>
      </c>
      <c r="B143" t="s">
        <v>5150</v>
      </c>
    </row>
    <row r="144" spans="1:2" x14ac:dyDescent="0.3">
      <c r="A144" t="s">
        <v>5109</v>
      </c>
      <c r="B144" t="s">
        <v>5150</v>
      </c>
    </row>
    <row r="145" spans="1:2" x14ac:dyDescent="0.3">
      <c r="A145" t="s">
        <v>5109</v>
      </c>
      <c r="B145" t="s">
        <v>5151</v>
      </c>
    </row>
    <row r="146" spans="1:2" x14ac:dyDescent="0.3">
      <c r="A146" t="s">
        <v>5109</v>
      </c>
      <c r="B146" t="s">
        <v>5151</v>
      </c>
    </row>
    <row r="147" spans="1:2" x14ac:dyDescent="0.3">
      <c r="A147" t="s">
        <v>5109</v>
      </c>
      <c r="B147" t="s">
        <v>5152</v>
      </c>
    </row>
    <row r="148" spans="1:2" x14ac:dyDescent="0.3">
      <c r="A148" t="s">
        <v>5109</v>
      </c>
      <c r="B148" t="s">
        <v>5152</v>
      </c>
    </row>
    <row r="149" spans="1:2" x14ac:dyDescent="0.3">
      <c r="A149" t="s">
        <v>5109</v>
      </c>
      <c r="B149" t="s">
        <v>5152</v>
      </c>
    </row>
    <row r="150" spans="1:2" x14ac:dyDescent="0.3">
      <c r="A150" t="s">
        <v>5109</v>
      </c>
      <c r="B150" t="s">
        <v>5152</v>
      </c>
    </row>
    <row r="151" spans="1:2" x14ac:dyDescent="0.3">
      <c r="A151" t="s">
        <v>5109</v>
      </c>
      <c r="B151" t="s">
        <v>5152</v>
      </c>
    </row>
    <row r="152" spans="1:2" x14ac:dyDescent="0.3">
      <c r="A152" t="s">
        <v>5109</v>
      </c>
      <c r="B152" t="s">
        <v>5152</v>
      </c>
    </row>
    <row r="153" spans="1:2" x14ac:dyDescent="0.3">
      <c r="A153" t="s">
        <v>5109</v>
      </c>
      <c r="B153" t="s">
        <v>5153</v>
      </c>
    </row>
    <row r="154" spans="1:2" x14ac:dyDescent="0.3">
      <c r="A154" t="s">
        <v>5109</v>
      </c>
      <c r="B154" t="s">
        <v>3967</v>
      </c>
    </row>
    <row r="155" spans="1:2" x14ac:dyDescent="0.3">
      <c r="A155" t="s">
        <v>5109</v>
      </c>
      <c r="B155" t="s">
        <v>3967</v>
      </c>
    </row>
    <row r="156" spans="1:2" x14ac:dyDescent="0.3">
      <c r="A156" t="s">
        <v>5109</v>
      </c>
      <c r="B156" t="s">
        <v>3967</v>
      </c>
    </row>
    <row r="157" spans="1:2" x14ac:dyDescent="0.3">
      <c r="A157" t="s">
        <v>5109</v>
      </c>
      <c r="B157" t="s">
        <v>3967</v>
      </c>
    </row>
    <row r="158" spans="1:2" x14ac:dyDescent="0.3">
      <c r="A158" t="s">
        <v>5109</v>
      </c>
      <c r="B158" t="s">
        <v>3967</v>
      </c>
    </row>
    <row r="159" spans="1:2" x14ac:dyDescent="0.3">
      <c r="A159" t="s">
        <v>5109</v>
      </c>
      <c r="B159" t="s">
        <v>5154</v>
      </c>
    </row>
    <row r="160" spans="1:2" x14ac:dyDescent="0.3">
      <c r="A160" t="s">
        <v>5109</v>
      </c>
      <c r="B160" t="s">
        <v>5154</v>
      </c>
    </row>
    <row r="161" spans="1:2" x14ac:dyDescent="0.3">
      <c r="A161" t="s">
        <v>5109</v>
      </c>
      <c r="B161" t="s">
        <v>5155</v>
      </c>
    </row>
    <row r="162" spans="1:2" x14ac:dyDescent="0.3">
      <c r="A162" t="s">
        <v>5109</v>
      </c>
      <c r="B162" t="s">
        <v>5156</v>
      </c>
    </row>
    <row r="163" spans="1:2" x14ac:dyDescent="0.3">
      <c r="A163" t="s">
        <v>5109</v>
      </c>
      <c r="B163" t="s">
        <v>5156</v>
      </c>
    </row>
    <row r="164" spans="1:2" x14ac:dyDescent="0.3">
      <c r="A164" t="s">
        <v>5109</v>
      </c>
      <c r="B164" t="s">
        <v>5156</v>
      </c>
    </row>
    <row r="165" spans="1:2" x14ac:dyDescent="0.3">
      <c r="A165" t="s">
        <v>5109</v>
      </c>
      <c r="B165" t="s">
        <v>5156</v>
      </c>
    </row>
    <row r="166" spans="1:2" x14ac:dyDescent="0.3">
      <c r="A166" t="s">
        <v>5109</v>
      </c>
      <c r="B166" t="s">
        <v>5157</v>
      </c>
    </row>
    <row r="167" spans="1:2" x14ac:dyDescent="0.3">
      <c r="A167" t="s">
        <v>5109</v>
      </c>
      <c r="B167" t="s">
        <v>5157</v>
      </c>
    </row>
    <row r="168" spans="1:2" x14ac:dyDescent="0.3">
      <c r="A168" t="s">
        <v>5109</v>
      </c>
      <c r="B168" t="s">
        <v>5158</v>
      </c>
    </row>
    <row r="169" spans="1:2" x14ac:dyDescent="0.3">
      <c r="A169" t="s">
        <v>5109</v>
      </c>
      <c r="B169" t="s">
        <v>5158</v>
      </c>
    </row>
    <row r="170" spans="1:2" x14ac:dyDescent="0.3">
      <c r="A170" t="s">
        <v>5109</v>
      </c>
      <c r="B170" t="s">
        <v>5159</v>
      </c>
    </row>
    <row r="171" spans="1:2" x14ac:dyDescent="0.3">
      <c r="A171" t="s">
        <v>5109</v>
      </c>
      <c r="B171" t="s">
        <v>5159</v>
      </c>
    </row>
    <row r="172" spans="1:2" x14ac:dyDescent="0.3">
      <c r="A172" t="s">
        <v>5109</v>
      </c>
      <c r="B172" t="s">
        <v>5159</v>
      </c>
    </row>
    <row r="173" spans="1:2" x14ac:dyDescent="0.3">
      <c r="A173" t="s">
        <v>5109</v>
      </c>
      <c r="B173" t="s">
        <v>5160</v>
      </c>
    </row>
    <row r="174" spans="1:2" x14ac:dyDescent="0.3">
      <c r="A174" t="s">
        <v>5109</v>
      </c>
      <c r="B174" t="s">
        <v>5161</v>
      </c>
    </row>
    <row r="175" spans="1:2" x14ac:dyDescent="0.3">
      <c r="A175" t="s">
        <v>5109</v>
      </c>
      <c r="B175" t="s">
        <v>5161</v>
      </c>
    </row>
    <row r="176" spans="1:2" x14ac:dyDescent="0.3">
      <c r="A176" t="s">
        <v>5109</v>
      </c>
      <c r="B176" t="s">
        <v>5161</v>
      </c>
    </row>
    <row r="177" spans="1:2" x14ac:dyDescent="0.3">
      <c r="A177" t="s">
        <v>5109</v>
      </c>
      <c r="B177" t="s">
        <v>5162</v>
      </c>
    </row>
    <row r="178" spans="1:2" x14ac:dyDescent="0.3">
      <c r="A178" t="s">
        <v>5109</v>
      </c>
      <c r="B178" t="s">
        <v>5162</v>
      </c>
    </row>
    <row r="179" spans="1:2" x14ac:dyDescent="0.3">
      <c r="A179" t="s">
        <v>5109</v>
      </c>
      <c r="B179" t="s">
        <v>5163</v>
      </c>
    </row>
    <row r="180" spans="1:2" x14ac:dyDescent="0.3">
      <c r="A180" t="s">
        <v>5109</v>
      </c>
      <c r="B180" t="s">
        <v>5163</v>
      </c>
    </row>
    <row r="181" spans="1:2" x14ac:dyDescent="0.3">
      <c r="A181" t="s">
        <v>5109</v>
      </c>
      <c r="B181" t="s">
        <v>5164</v>
      </c>
    </row>
    <row r="182" spans="1:2" x14ac:dyDescent="0.3">
      <c r="A182" t="s">
        <v>5109</v>
      </c>
      <c r="B182" t="s">
        <v>5164</v>
      </c>
    </row>
    <row r="183" spans="1:2" x14ac:dyDescent="0.3">
      <c r="A183" t="s">
        <v>5109</v>
      </c>
      <c r="B183" t="s">
        <v>5164</v>
      </c>
    </row>
    <row r="184" spans="1:2" x14ac:dyDescent="0.3">
      <c r="A184" t="s">
        <v>5109</v>
      </c>
      <c r="B184" t="s">
        <v>5164</v>
      </c>
    </row>
    <row r="185" spans="1:2" x14ac:dyDescent="0.3">
      <c r="A185" t="s">
        <v>5109</v>
      </c>
      <c r="B185" t="s">
        <v>5164</v>
      </c>
    </row>
    <row r="186" spans="1:2" x14ac:dyDescent="0.3">
      <c r="A186" t="s">
        <v>5109</v>
      </c>
      <c r="B186" t="s">
        <v>5165</v>
      </c>
    </row>
    <row r="187" spans="1:2" x14ac:dyDescent="0.3">
      <c r="A187" t="s">
        <v>5109</v>
      </c>
      <c r="B187" t="s">
        <v>5165</v>
      </c>
    </row>
    <row r="188" spans="1:2" x14ac:dyDescent="0.3">
      <c r="A188" t="s">
        <v>5109</v>
      </c>
      <c r="B188" t="s">
        <v>5165</v>
      </c>
    </row>
    <row r="189" spans="1:2" x14ac:dyDescent="0.3">
      <c r="A189" t="s">
        <v>5109</v>
      </c>
      <c r="B189" t="s">
        <v>5166</v>
      </c>
    </row>
    <row r="190" spans="1:2" x14ac:dyDescent="0.3">
      <c r="A190" t="s">
        <v>5109</v>
      </c>
      <c r="B190" t="s">
        <v>5166</v>
      </c>
    </row>
    <row r="191" spans="1:2" x14ac:dyDescent="0.3">
      <c r="A191" t="s">
        <v>5109</v>
      </c>
      <c r="B191" t="s">
        <v>5167</v>
      </c>
    </row>
    <row r="192" spans="1:2" x14ac:dyDescent="0.3">
      <c r="A192" t="s">
        <v>5109</v>
      </c>
      <c r="B192" t="s">
        <v>5167</v>
      </c>
    </row>
    <row r="193" spans="1:2" x14ac:dyDescent="0.3">
      <c r="A193" t="s">
        <v>5109</v>
      </c>
      <c r="B193" t="s">
        <v>5167</v>
      </c>
    </row>
    <row r="194" spans="1:2" x14ac:dyDescent="0.3">
      <c r="A194" t="s">
        <v>5109</v>
      </c>
      <c r="B194" t="s">
        <v>5168</v>
      </c>
    </row>
    <row r="195" spans="1:2" x14ac:dyDescent="0.3">
      <c r="A195" t="s">
        <v>5109</v>
      </c>
      <c r="B195" t="s">
        <v>5168</v>
      </c>
    </row>
    <row r="196" spans="1:2" x14ac:dyDescent="0.3">
      <c r="A196" t="s">
        <v>5109</v>
      </c>
      <c r="B196" t="s">
        <v>5168</v>
      </c>
    </row>
    <row r="197" spans="1:2" x14ac:dyDescent="0.3">
      <c r="A197" t="s">
        <v>5109</v>
      </c>
      <c r="B197" t="s">
        <v>5168</v>
      </c>
    </row>
    <row r="198" spans="1:2" x14ac:dyDescent="0.3">
      <c r="A198" t="s">
        <v>5109</v>
      </c>
      <c r="B198" t="s">
        <v>5169</v>
      </c>
    </row>
    <row r="199" spans="1:2" x14ac:dyDescent="0.3">
      <c r="A199" t="s">
        <v>5109</v>
      </c>
      <c r="B199" t="s">
        <v>5169</v>
      </c>
    </row>
    <row r="200" spans="1:2" x14ac:dyDescent="0.3">
      <c r="A200" t="s">
        <v>5109</v>
      </c>
      <c r="B200" t="s">
        <v>4169</v>
      </c>
    </row>
    <row r="201" spans="1:2" x14ac:dyDescent="0.3">
      <c r="A201" t="s">
        <v>5109</v>
      </c>
      <c r="B201" t="s">
        <v>5170</v>
      </c>
    </row>
    <row r="202" spans="1:2" x14ac:dyDescent="0.3">
      <c r="A202" t="s">
        <v>5109</v>
      </c>
      <c r="B202" t="s">
        <v>5170</v>
      </c>
    </row>
    <row r="203" spans="1:2" x14ac:dyDescent="0.3">
      <c r="A203" t="s">
        <v>5109</v>
      </c>
      <c r="B203" t="s">
        <v>2352</v>
      </c>
    </row>
    <row r="204" spans="1:2" x14ac:dyDescent="0.3">
      <c r="A204" t="s">
        <v>5109</v>
      </c>
      <c r="B204" t="s">
        <v>5171</v>
      </c>
    </row>
    <row r="205" spans="1:2" x14ac:dyDescent="0.3">
      <c r="A205" t="s">
        <v>5109</v>
      </c>
      <c r="B205" t="s">
        <v>5171</v>
      </c>
    </row>
    <row r="206" spans="1:2" x14ac:dyDescent="0.3">
      <c r="A206" t="s">
        <v>5109</v>
      </c>
      <c r="B206" t="s">
        <v>5171</v>
      </c>
    </row>
    <row r="207" spans="1:2" x14ac:dyDescent="0.3">
      <c r="A207" t="s">
        <v>5109</v>
      </c>
      <c r="B207" t="s">
        <v>5171</v>
      </c>
    </row>
    <row r="208" spans="1:2" x14ac:dyDescent="0.3">
      <c r="A208" t="s">
        <v>5109</v>
      </c>
      <c r="B208" t="s">
        <v>5172</v>
      </c>
    </row>
    <row r="209" spans="1:2" x14ac:dyDescent="0.3">
      <c r="A209" t="s">
        <v>5109</v>
      </c>
      <c r="B209" t="s">
        <v>5172</v>
      </c>
    </row>
    <row r="210" spans="1:2" x14ac:dyDescent="0.3">
      <c r="A210" t="s">
        <v>5109</v>
      </c>
      <c r="B210" t="s">
        <v>5172</v>
      </c>
    </row>
    <row r="211" spans="1:2" x14ac:dyDescent="0.3">
      <c r="A211" t="s">
        <v>5109</v>
      </c>
      <c r="B211" t="s">
        <v>5172</v>
      </c>
    </row>
    <row r="212" spans="1:2" x14ac:dyDescent="0.3">
      <c r="A212" t="s">
        <v>5109</v>
      </c>
      <c r="B212" t="s">
        <v>816</v>
      </c>
    </row>
    <row r="213" spans="1:2" x14ac:dyDescent="0.3">
      <c r="A213" t="s">
        <v>5109</v>
      </c>
      <c r="B213" t="s">
        <v>816</v>
      </c>
    </row>
    <row r="214" spans="1:2" x14ac:dyDescent="0.3">
      <c r="A214" t="s">
        <v>5109</v>
      </c>
      <c r="B214" t="s">
        <v>816</v>
      </c>
    </row>
    <row r="215" spans="1:2" x14ac:dyDescent="0.3">
      <c r="A215" t="s">
        <v>5109</v>
      </c>
      <c r="B215" t="s">
        <v>816</v>
      </c>
    </row>
    <row r="216" spans="1:2" x14ac:dyDescent="0.3">
      <c r="A216" t="s">
        <v>5109</v>
      </c>
      <c r="B216" t="s">
        <v>816</v>
      </c>
    </row>
    <row r="217" spans="1:2" x14ac:dyDescent="0.3">
      <c r="A217" t="s">
        <v>5109</v>
      </c>
      <c r="B217" t="s">
        <v>5173</v>
      </c>
    </row>
    <row r="218" spans="1:2" x14ac:dyDescent="0.3">
      <c r="A218" t="s">
        <v>5109</v>
      </c>
      <c r="B218" t="s">
        <v>5173</v>
      </c>
    </row>
    <row r="219" spans="1:2" x14ac:dyDescent="0.3">
      <c r="A219" t="s">
        <v>5109</v>
      </c>
      <c r="B219" t="s">
        <v>5173</v>
      </c>
    </row>
    <row r="220" spans="1:2" x14ac:dyDescent="0.3">
      <c r="A220" t="s">
        <v>5109</v>
      </c>
      <c r="B220" t="s">
        <v>5173</v>
      </c>
    </row>
    <row r="221" spans="1:2" x14ac:dyDescent="0.3">
      <c r="A221" t="s">
        <v>5109</v>
      </c>
      <c r="B221" t="s">
        <v>5174</v>
      </c>
    </row>
    <row r="222" spans="1:2" x14ac:dyDescent="0.3">
      <c r="A222" t="s">
        <v>5109</v>
      </c>
      <c r="B222" t="s">
        <v>5174</v>
      </c>
    </row>
    <row r="223" spans="1:2" x14ac:dyDescent="0.3">
      <c r="A223" t="s">
        <v>5109</v>
      </c>
      <c r="B223" t="s">
        <v>5175</v>
      </c>
    </row>
    <row r="224" spans="1:2" x14ac:dyDescent="0.3">
      <c r="A224" t="s">
        <v>5109</v>
      </c>
      <c r="B224" t="s">
        <v>5175</v>
      </c>
    </row>
    <row r="225" spans="1:2" x14ac:dyDescent="0.3">
      <c r="A225" t="s">
        <v>5109</v>
      </c>
      <c r="B225" t="s">
        <v>5175</v>
      </c>
    </row>
    <row r="226" spans="1:2" x14ac:dyDescent="0.3">
      <c r="A226" t="s">
        <v>5109</v>
      </c>
      <c r="B226" t="s">
        <v>5176</v>
      </c>
    </row>
    <row r="227" spans="1:2" x14ac:dyDescent="0.3">
      <c r="A227" t="s">
        <v>5109</v>
      </c>
      <c r="B227" t="s">
        <v>5176</v>
      </c>
    </row>
    <row r="228" spans="1:2" x14ac:dyDescent="0.3">
      <c r="A228" t="s">
        <v>5109</v>
      </c>
      <c r="B228" t="s">
        <v>5177</v>
      </c>
    </row>
    <row r="229" spans="1:2" x14ac:dyDescent="0.3">
      <c r="A229" t="s">
        <v>5109</v>
      </c>
      <c r="B229" t="s">
        <v>5178</v>
      </c>
    </row>
    <row r="230" spans="1:2" x14ac:dyDescent="0.3">
      <c r="A230" t="s">
        <v>5109</v>
      </c>
      <c r="B230" t="s">
        <v>5178</v>
      </c>
    </row>
    <row r="231" spans="1:2" x14ac:dyDescent="0.3">
      <c r="A231" t="s">
        <v>5109</v>
      </c>
      <c r="B231" t="s">
        <v>5178</v>
      </c>
    </row>
    <row r="232" spans="1:2" x14ac:dyDescent="0.3">
      <c r="A232" t="s">
        <v>5109</v>
      </c>
      <c r="B232" t="s">
        <v>5178</v>
      </c>
    </row>
    <row r="233" spans="1:2" x14ac:dyDescent="0.3">
      <c r="A233" t="s">
        <v>5109</v>
      </c>
      <c r="B233" t="s">
        <v>5179</v>
      </c>
    </row>
    <row r="234" spans="1:2" x14ac:dyDescent="0.3">
      <c r="A234" t="s">
        <v>5109</v>
      </c>
      <c r="B234" t="s">
        <v>5179</v>
      </c>
    </row>
    <row r="235" spans="1:2" x14ac:dyDescent="0.3">
      <c r="A235" t="s">
        <v>5109</v>
      </c>
      <c r="B235" t="s">
        <v>5180</v>
      </c>
    </row>
    <row r="236" spans="1:2" x14ac:dyDescent="0.3">
      <c r="A236" t="s">
        <v>5109</v>
      </c>
      <c r="B236" t="s">
        <v>5181</v>
      </c>
    </row>
    <row r="237" spans="1:2" x14ac:dyDescent="0.3">
      <c r="A237" t="s">
        <v>5109</v>
      </c>
      <c r="B237" t="s">
        <v>5182</v>
      </c>
    </row>
    <row r="238" spans="1:2" x14ac:dyDescent="0.3">
      <c r="A238" t="s">
        <v>5109</v>
      </c>
      <c r="B238" t="s">
        <v>3762</v>
      </c>
    </row>
    <row r="239" spans="1:2" x14ac:dyDescent="0.3">
      <c r="A239" t="s">
        <v>5109</v>
      </c>
      <c r="B239" t="s">
        <v>3762</v>
      </c>
    </row>
    <row r="240" spans="1:2" x14ac:dyDescent="0.3">
      <c r="A240" t="s">
        <v>5109</v>
      </c>
      <c r="B240" t="s">
        <v>5183</v>
      </c>
    </row>
    <row r="241" spans="1:2" x14ac:dyDescent="0.3">
      <c r="A241" t="s">
        <v>5109</v>
      </c>
      <c r="B241" t="s">
        <v>5184</v>
      </c>
    </row>
    <row r="242" spans="1:2" x14ac:dyDescent="0.3">
      <c r="A242" t="s">
        <v>5109</v>
      </c>
      <c r="B242" t="s">
        <v>5184</v>
      </c>
    </row>
    <row r="243" spans="1:2" x14ac:dyDescent="0.3">
      <c r="A243" t="s">
        <v>5109</v>
      </c>
      <c r="B243" t="s">
        <v>5184</v>
      </c>
    </row>
    <row r="244" spans="1:2" x14ac:dyDescent="0.3">
      <c r="A244" t="s">
        <v>5109</v>
      </c>
      <c r="B244" t="s">
        <v>5184</v>
      </c>
    </row>
    <row r="245" spans="1:2" x14ac:dyDescent="0.3">
      <c r="A245" t="s">
        <v>5109</v>
      </c>
      <c r="B245" t="s">
        <v>1532</v>
      </c>
    </row>
    <row r="246" spans="1:2" x14ac:dyDescent="0.3">
      <c r="A246" t="s">
        <v>5109</v>
      </c>
      <c r="B246" t="s">
        <v>1532</v>
      </c>
    </row>
    <row r="247" spans="1:2" x14ac:dyDescent="0.3">
      <c r="A247" t="s">
        <v>5109</v>
      </c>
      <c r="B247" t="s">
        <v>1532</v>
      </c>
    </row>
    <row r="248" spans="1:2" x14ac:dyDescent="0.3">
      <c r="A248" t="s">
        <v>5109</v>
      </c>
      <c r="B248" t="s">
        <v>5185</v>
      </c>
    </row>
    <row r="249" spans="1:2" x14ac:dyDescent="0.3">
      <c r="A249" t="s">
        <v>5109</v>
      </c>
      <c r="B249" t="s">
        <v>5186</v>
      </c>
    </row>
    <row r="250" spans="1:2" x14ac:dyDescent="0.3">
      <c r="A250" t="s">
        <v>5109</v>
      </c>
      <c r="B250" t="s">
        <v>5186</v>
      </c>
    </row>
    <row r="251" spans="1:2" x14ac:dyDescent="0.3">
      <c r="A251" t="s">
        <v>5109</v>
      </c>
      <c r="B251" t="s">
        <v>5187</v>
      </c>
    </row>
    <row r="252" spans="1:2" x14ac:dyDescent="0.3">
      <c r="A252" t="s">
        <v>5109</v>
      </c>
      <c r="B252" t="s">
        <v>5187</v>
      </c>
    </row>
    <row r="253" spans="1:2" x14ac:dyDescent="0.3">
      <c r="A253" t="s">
        <v>5109</v>
      </c>
      <c r="B253" t="s">
        <v>5187</v>
      </c>
    </row>
    <row r="254" spans="1:2" x14ac:dyDescent="0.3">
      <c r="A254" t="s">
        <v>5109</v>
      </c>
      <c r="B254" t="s">
        <v>5187</v>
      </c>
    </row>
    <row r="255" spans="1:2" x14ac:dyDescent="0.3">
      <c r="A255" t="s">
        <v>5109</v>
      </c>
      <c r="B255" t="s">
        <v>5187</v>
      </c>
    </row>
    <row r="256" spans="1:2" x14ac:dyDescent="0.3">
      <c r="A256" t="s">
        <v>5109</v>
      </c>
      <c r="B256" t="s">
        <v>5187</v>
      </c>
    </row>
    <row r="257" spans="1:2" x14ac:dyDescent="0.3">
      <c r="A257" t="s">
        <v>5109</v>
      </c>
      <c r="B257" t="s">
        <v>5187</v>
      </c>
    </row>
    <row r="258" spans="1:2" x14ac:dyDescent="0.3">
      <c r="A258" t="s">
        <v>5109</v>
      </c>
      <c r="B258" t="s">
        <v>5187</v>
      </c>
    </row>
    <row r="259" spans="1:2" x14ac:dyDescent="0.3">
      <c r="A259" t="s">
        <v>5109</v>
      </c>
      <c r="B259" t="s">
        <v>5187</v>
      </c>
    </row>
    <row r="260" spans="1:2" x14ac:dyDescent="0.3">
      <c r="A260" t="s">
        <v>5109</v>
      </c>
      <c r="B260" t="s">
        <v>4449</v>
      </c>
    </row>
    <row r="261" spans="1:2" x14ac:dyDescent="0.3">
      <c r="A261" t="s">
        <v>5109</v>
      </c>
      <c r="B261" t="s">
        <v>4449</v>
      </c>
    </row>
    <row r="262" spans="1:2" x14ac:dyDescent="0.3">
      <c r="A262" t="s">
        <v>5109</v>
      </c>
      <c r="B262" t="s">
        <v>5188</v>
      </c>
    </row>
    <row r="263" spans="1:2" x14ac:dyDescent="0.3">
      <c r="A263" t="s">
        <v>5109</v>
      </c>
      <c r="B263" t="s">
        <v>5188</v>
      </c>
    </row>
    <row r="264" spans="1:2" x14ac:dyDescent="0.3">
      <c r="A264" t="s">
        <v>5109</v>
      </c>
      <c r="B264" t="s">
        <v>5188</v>
      </c>
    </row>
    <row r="265" spans="1:2" x14ac:dyDescent="0.3">
      <c r="A265" t="s">
        <v>5109</v>
      </c>
      <c r="B265" t="s">
        <v>828</v>
      </c>
    </row>
    <row r="266" spans="1:2" x14ac:dyDescent="0.3">
      <c r="A266" t="s">
        <v>5109</v>
      </c>
      <c r="B266" t="s">
        <v>828</v>
      </c>
    </row>
    <row r="267" spans="1:2" x14ac:dyDescent="0.3">
      <c r="A267" t="s">
        <v>5109</v>
      </c>
      <c r="B267" t="s">
        <v>828</v>
      </c>
    </row>
    <row r="268" spans="1:2" x14ac:dyDescent="0.3">
      <c r="A268" t="s">
        <v>5109</v>
      </c>
      <c r="B268" t="s">
        <v>828</v>
      </c>
    </row>
    <row r="269" spans="1:2" x14ac:dyDescent="0.3">
      <c r="A269" t="s">
        <v>5109</v>
      </c>
      <c r="B269" t="s">
        <v>828</v>
      </c>
    </row>
    <row r="270" spans="1:2" x14ac:dyDescent="0.3">
      <c r="A270" t="s">
        <v>5109</v>
      </c>
      <c r="B270" t="s">
        <v>828</v>
      </c>
    </row>
    <row r="271" spans="1:2" x14ac:dyDescent="0.3">
      <c r="A271" t="s">
        <v>5109</v>
      </c>
      <c r="B271" t="s">
        <v>5189</v>
      </c>
    </row>
    <row r="272" spans="1:2" x14ac:dyDescent="0.3">
      <c r="A272" t="s">
        <v>5109</v>
      </c>
      <c r="B272" t="s">
        <v>5190</v>
      </c>
    </row>
    <row r="273" spans="1:2" x14ac:dyDescent="0.3">
      <c r="A273" t="s">
        <v>5109</v>
      </c>
      <c r="B273" t="s">
        <v>5190</v>
      </c>
    </row>
    <row r="274" spans="1:2" x14ac:dyDescent="0.3">
      <c r="A274" t="s">
        <v>5109</v>
      </c>
      <c r="B274" t="s">
        <v>5191</v>
      </c>
    </row>
    <row r="275" spans="1:2" x14ac:dyDescent="0.3">
      <c r="A275" t="s">
        <v>5109</v>
      </c>
      <c r="B275" t="s">
        <v>5192</v>
      </c>
    </row>
    <row r="276" spans="1:2" x14ac:dyDescent="0.3">
      <c r="A276" t="s">
        <v>5109</v>
      </c>
      <c r="B276" t="s">
        <v>5192</v>
      </c>
    </row>
    <row r="277" spans="1:2" x14ac:dyDescent="0.3">
      <c r="A277" t="s">
        <v>5109</v>
      </c>
      <c r="B277" t="s">
        <v>5193</v>
      </c>
    </row>
    <row r="278" spans="1:2" x14ac:dyDescent="0.3">
      <c r="A278" t="s">
        <v>5109</v>
      </c>
      <c r="B278" t="s">
        <v>5193</v>
      </c>
    </row>
    <row r="279" spans="1:2" x14ac:dyDescent="0.3">
      <c r="A279" t="s">
        <v>5109</v>
      </c>
      <c r="B279" t="s">
        <v>5193</v>
      </c>
    </row>
    <row r="280" spans="1:2" x14ac:dyDescent="0.3">
      <c r="A280" t="s">
        <v>5109</v>
      </c>
      <c r="B280" t="s">
        <v>5193</v>
      </c>
    </row>
    <row r="281" spans="1:2" x14ac:dyDescent="0.3">
      <c r="A281" t="s">
        <v>5109</v>
      </c>
      <c r="B281" t="s">
        <v>5193</v>
      </c>
    </row>
    <row r="282" spans="1:2" x14ac:dyDescent="0.3">
      <c r="A282" t="s">
        <v>5109</v>
      </c>
      <c r="B282" t="s">
        <v>5193</v>
      </c>
    </row>
    <row r="283" spans="1:2" x14ac:dyDescent="0.3">
      <c r="A283" t="s">
        <v>5109</v>
      </c>
      <c r="B283" t="s">
        <v>376</v>
      </c>
    </row>
    <row r="284" spans="1:2" x14ac:dyDescent="0.3">
      <c r="A284" t="s">
        <v>5109</v>
      </c>
      <c r="B284" t="s">
        <v>376</v>
      </c>
    </row>
    <row r="285" spans="1:2" x14ac:dyDescent="0.3">
      <c r="A285" t="s">
        <v>5109</v>
      </c>
      <c r="B285" t="s">
        <v>376</v>
      </c>
    </row>
    <row r="286" spans="1:2" x14ac:dyDescent="0.3">
      <c r="A286" t="s">
        <v>5109</v>
      </c>
      <c r="B286" t="s">
        <v>1405</v>
      </c>
    </row>
    <row r="287" spans="1:2" x14ac:dyDescent="0.3">
      <c r="A287" t="s">
        <v>5109</v>
      </c>
      <c r="B287" t="s">
        <v>1405</v>
      </c>
    </row>
    <row r="288" spans="1:2" x14ac:dyDescent="0.3">
      <c r="A288" t="s">
        <v>5109</v>
      </c>
      <c r="B288" t="s">
        <v>1405</v>
      </c>
    </row>
    <row r="289" spans="1:2" x14ac:dyDescent="0.3">
      <c r="A289" t="s">
        <v>5109</v>
      </c>
      <c r="B289" t="s">
        <v>1405</v>
      </c>
    </row>
    <row r="290" spans="1:2" x14ac:dyDescent="0.3">
      <c r="A290" t="s">
        <v>5109</v>
      </c>
      <c r="B290" t="s">
        <v>1405</v>
      </c>
    </row>
    <row r="291" spans="1:2" x14ac:dyDescent="0.3">
      <c r="A291" t="s">
        <v>5109</v>
      </c>
      <c r="B291" t="s">
        <v>268</v>
      </c>
    </row>
    <row r="292" spans="1:2" x14ac:dyDescent="0.3">
      <c r="A292" t="s">
        <v>5109</v>
      </c>
      <c r="B292" t="s">
        <v>268</v>
      </c>
    </row>
    <row r="293" spans="1:2" x14ac:dyDescent="0.3">
      <c r="A293" t="s">
        <v>5109</v>
      </c>
      <c r="B293" t="s">
        <v>268</v>
      </c>
    </row>
    <row r="294" spans="1:2" x14ac:dyDescent="0.3">
      <c r="A294" t="s">
        <v>5109</v>
      </c>
      <c r="B294" t="s">
        <v>268</v>
      </c>
    </row>
    <row r="295" spans="1:2" x14ac:dyDescent="0.3">
      <c r="A295" t="s">
        <v>5109</v>
      </c>
      <c r="B295" t="s">
        <v>268</v>
      </c>
    </row>
    <row r="296" spans="1:2" x14ac:dyDescent="0.3">
      <c r="A296" t="s">
        <v>5109</v>
      </c>
      <c r="B296" t="s">
        <v>268</v>
      </c>
    </row>
    <row r="297" spans="1:2" x14ac:dyDescent="0.3">
      <c r="A297" t="s">
        <v>5109</v>
      </c>
      <c r="B297" t="s">
        <v>268</v>
      </c>
    </row>
    <row r="298" spans="1:2" x14ac:dyDescent="0.3">
      <c r="A298" t="s">
        <v>5109</v>
      </c>
      <c r="B298" t="s">
        <v>5194</v>
      </c>
    </row>
    <row r="299" spans="1:2" x14ac:dyDescent="0.3">
      <c r="A299" t="s">
        <v>5109</v>
      </c>
      <c r="B299" t="s">
        <v>5194</v>
      </c>
    </row>
    <row r="300" spans="1:2" x14ac:dyDescent="0.3">
      <c r="A300" t="s">
        <v>5109</v>
      </c>
      <c r="B300" t="s">
        <v>5194</v>
      </c>
    </row>
    <row r="301" spans="1:2" x14ac:dyDescent="0.3">
      <c r="A301" t="s">
        <v>5109</v>
      </c>
      <c r="B301" t="s">
        <v>2736</v>
      </c>
    </row>
    <row r="302" spans="1:2" x14ac:dyDescent="0.3">
      <c r="A302" t="s">
        <v>5109</v>
      </c>
      <c r="B302" t="s">
        <v>5195</v>
      </c>
    </row>
    <row r="303" spans="1:2" x14ac:dyDescent="0.3">
      <c r="A303" t="s">
        <v>5109</v>
      </c>
      <c r="B303" t="s">
        <v>5196</v>
      </c>
    </row>
    <row r="304" spans="1:2" x14ac:dyDescent="0.3">
      <c r="A304" t="s">
        <v>5109</v>
      </c>
      <c r="B304" t="s">
        <v>5196</v>
      </c>
    </row>
    <row r="305" spans="1:2" x14ac:dyDescent="0.3">
      <c r="A305" t="s">
        <v>5109</v>
      </c>
      <c r="B305" t="s">
        <v>5196</v>
      </c>
    </row>
    <row r="306" spans="1:2" x14ac:dyDescent="0.3">
      <c r="A306" t="s">
        <v>5109</v>
      </c>
      <c r="B306" t="s">
        <v>5196</v>
      </c>
    </row>
    <row r="307" spans="1:2" x14ac:dyDescent="0.3">
      <c r="A307" t="s">
        <v>5109</v>
      </c>
      <c r="B307" t="s">
        <v>5197</v>
      </c>
    </row>
    <row r="308" spans="1:2" x14ac:dyDescent="0.3">
      <c r="A308" t="s">
        <v>5109</v>
      </c>
      <c r="B308" t="s">
        <v>5197</v>
      </c>
    </row>
    <row r="309" spans="1:2" x14ac:dyDescent="0.3">
      <c r="A309" t="s">
        <v>5109</v>
      </c>
      <c r="B309" t="s">
        <v>5197</v>
      </c>
    </row>
    <row r="310" spans="1:2" x14ac:dyDescent="0.3">
      <c r="A310" t="s">
        <v>5109</v>
      </c>
      <c r="B310" t="s">
        <v>5197</v>
      </c>
    </row>
    <row r="311" spans="1:2" x14ac:dyDescent="0.3">
      <c r="A311" t="s">
        <v>5109</v>
      </c>
      <c r="B311" t="s">
        <v>5197</v>
      </c>
    </row>
    <row r="312" spans="1:2" x14ac:dyDescent="0.3">
      <c r="A312" t="s">
        <v>5109</v>
      </c>
      <c r="B312" t="s">
        <v>5198</v>
      </c>
    </row>
    <row r="313" spans="1:2" x14ac:dyDescent="0.3">
      <c r="A313" t="s">
        <v>5109</v>
      </c>
      <c r="B313" t="s">
        <v>5198</v>
      </c>
    </row>
    <row r="314" spans="1:2" x14ac:dyDescent="0.3">
      <c r="A314" t="s">
        <v>5109</v>
      </c>
      <c r="B314" t="s">
        <v>5199</v>
      </c>
    </row>
    <row r="315" spans="1:2" x14ac:dyDescent="0.3">
      <c r="A315" t="s">
        <v>5109</v>
      </c>
      <c r="B315" t="s">
        <v>5199</v>
      </c>
    </row>
    <row r="316" spans="1:2" x14ac:dyDescent="0.3">
      <c r="A316" t="s">
        <v>5109</v>
      </c>
      <c r="B316" t="s">
        <v>5200</v>
      </c>
    </row>
    <row r="317" spans="1:2" x14ac:dyDescent="0.3">
      <c r="A317" t="s">
        <v>5109</v>
      </c>
      <c r="B317" t="s">
        <v>5200</v>
      </c>
    </row>
    <row r="318" spans="1:2" x14ac:dyDescent="0.3">
      <c r="A318" t="s">
        <v>5109</v>
      </c>
      <c r="B318" t="s">
        <v>5200</v>
      </c>
    </row>
    <row r="319" spans="1:2" x14ac:dyDescent="0.3">
      <c r="A319" t="s">
        <v>5109</v>
      </c>
      <c r="B319" t="s">
        <v>5201</v>
      </c>
    </row>
    <row r="320" spans="1:2" x14ac:dyDescent="0.3">
      <c r="A320" t="s">
        <v>5109</v>
      </c>
      <c r="B320" t="s">
        <v>5202</v>
      </c>
    </row>
    <row r="321" spans="1:2" x14ac:dyDescent="0.3">
      <c r="A321" t="s">
        <v>5109</v>
      </c>
      <c r="B321" t="s">
        <v>5203</v>
      </c>
    </row>
    <row r="322" spans="1:2" x14ac:dyDescent="0.3">
      <c r="A322" t="s">
        <v>5109</v>
      </c>
      <c r="B322" t="s">
        <v>5204</v>
      </c>
    </row>
    <row r="323" spans="1:2" x14ac:dyDescent="0.3">
      <c r="A323" t="s">
        <v>5109</v>
      </c>
      <c r="B323" t="s">
        <v>5205</v>
      </c>
    </row>
    <row r="324" spans="1:2" x14ac:dyDescent="0.3">
      <c r="A324" t="s">
        <v>5109</v>
      </c>
      <c r="B324" t="s">
        <v>5035</v>
      </c>
    </row>
    <row r="325" spans="1:2" x14ac:dyDescent="0.3">
      <c r="A325" t="s">
        <v>5109</v>
      </c>
      <c r="B325" t="s">
        <v>2586</v>
      </c>
    </row>
    <row r="326" spans="1:2" x14ac:dyDescent="0.3">
      <c r="A326" t="s">
        <v>5109</v>
      </c>
      <c r="B326" t="s">
        <v>2586</v>
      </c>
    </row>
    <row r="327" spans="1:2" x14ac:dyDescent="0.3">
      <c r="A327" t="s">
        <v>5109</v>
      </c>
      <c r="B327" t="s">
        <v>2586</v>
      </c>
    </row>
    <row r="328" spans="1:2" x14ac:dyDescent="0.3">
      <c r="A328" t="s">
        <v>5109</v>
      </c>
      <c r="B328" t="s">
        <v>5206</v>
      </c>
    </row>
    <row r="329" spans="1:2" x14ac:dyDescent="0.3">
      <c r="A329" t="s">
        <v>5109</v>
      </c>
      <c r="B329" t="s">
        <v>5206</v>
      </c>
    </row>
    <row r="330" spans="1:2" x14ac:dyDescent="0.3">
      <c r="A330" t="s">
        <v>5109</v>
      </c>
      <c r="B330" t="s">
        <v>5206</v>
      </c>
    </row>
    <row r="331" spans="1:2" x14ac:dyDescent="0.3">
      <c r="A331" t="s">
        <v>5109</v>
      </c>
      <c r="B331" t="s">
        <v>5206</v>
      </c>
    </row>
    <row r="332" spans="1:2" x14ac:dyDescent="0.3">
      <c r="A332" t="s">
        <v>5109</v>
      </c>
      <c r="B332" t="s">
        <v>5206</v>
      </c>
    </row>
    <row r="333" spans="1:2" x14ac:dyDescent="0.3">
      <c r="A333" t="s">
        <v>5109</v>
      </c>
      <c r="B333" t="s">
        <v>5206</v>
      </c>
    </row>
    <row r="334" spans="1:2" x14ac:dyDescent="0.3">
      <c r="A334" t="s">
        <v>5109</v>
      </c>
      <c r="B334" t="s">
        <v>5207</v>
      </c>
    </row>
    <row r="335" spans="1:2" x14ac:dyDescent="0.3">
      <c r="A335" t="s">
        <v>5109</v>
      </c>
      <c r="B335" t="s">
        <v>5207</v>
      </c>
    </row>
    <row r="336" spans="1:2" x14ac:dyDescent="0.3">
      <c r="A336" t="s">
        <v>5109</v>
      </c>
      <c r="B336" t="s">
        <v>5207</v>
      </c>
    </row>
    <row r="337" spans="1:2" x14ac:dyDescent="0.3">
      <c r="A337" t="s">
        <v>5109</v>
      </c>
      <c r="B337" t="s">
        <v>5208</v>
      </c>
    </row>
    <row r="338" spans="1:2" x14ac:dyDescent="0.3">
      <c r="A338" t="s">
        <v>5109</v>
      </c>
      <c r="B338" t="s">
        <v>5208</v>
      </c>
    </row>
    <row r="339" spans="1:2" x14ac:dyDescent="0.3">
      <c r="A339" t="s">
        <v>5109</v>
      </c>
      <c r="B339" t="s">
        <v>5208</v>
      </c>
    </row>
    <row r="340" spans="1:2" x14ac:dyDescent="0.3">
      <c r="A340" t="s">
        <v>5109</v>
      </c>
      <c r="B340" t="s">
        <v>5209</v>
      </c>
    </row>
    <row r="341" spans="1:2" x14ac:dyDescent="0.3">
      <c r="A341" t="s">
        <v>5109</v>
      </c>
      <c r="B341" t="s">
        <v>5209</v>
      </c>
    </row>
    <row r="342" spans="1:2" x14ac:dyDescent="0.3">
      <c r="A342" t="s">
        <v>5109</v>
      </c>
      <c r="B342" t="s">
        <v>5210</v>
      </c>
    </row>
    <row r="343" spans="1:2" x14ac:dyDescent="0.3">
      <c r="A343" t="s">
        <v>5109</v>
      </c>
      <c r="B343" t="s">
        <v>5211</v>
      </c>
    </row>
    <row r="344" spans="1:2" x14ac:dyDescent="0.3">
      <c r="A344" t="s">
        <v>5109</v>
      </c>
      <c r="B344" t="s">
        <v>5212</v>
      </c>
    </row>
    <row r="345" spans="1:2" x14ac:dyDescent="0.3">
      <c r="A345" t="s">
        <v>5109</v>
      </c>
      <c r="B345" t="s">
        <v>5212</v>
      </c>
    </row>
    <row r="346" spans="1:2" x14ac:dyDescent="0.3">
      <c r="A346" t="s">
        <v>5109</v>
      </c>
      <c r="B346" t="s">
        <v>5213</v>
      </c>
    </row>
    <row r="347" spans="1:2" x14ac:dyDescent="0.3">
      <c r="A347" t="s">
        <v>5109</v>
      </c>
      <c r="B347" t="s">
        <v>1197</v>
      </c>
    </row>
    <row r="348" spans="1:2" x14ac:dyDescent="0.3">
      <c r="A348" t="s">
        <v>5109</v>
      </c>
      <c r="B348" t="s">
        <v>1197</v>
      </c>
    </row>
    <row r="349" spans="1:2" x14ac:dyDescent="0.3">
      <c r="A349" t="s">
        <v>5109</v>
      </c>
      <c r="B349" t="s">
        <v>5214</v>
      </c>
    </row>
    <row r="350" spans="1:2" x14ac:dyDescent="0.3">
      <c r="A350" t="s">
        <v>5109</v>
      </c>
      <c r="B350" t="s">
        <v>5214</v>
      </c>
    </row>
    <row r="351" spans="1:2" x14ac:dyDescent="0.3">
      <c r="A351" t="s">
        <v>5109</v>
      </c>
      <c r="B351" t="s">
        <v>5214</v>
      </c>
    </row>
    <row r="352" spans="1:2" x14ac:dyDescent="0.3">
      <c r="A352" t="s">
        <v>5109</v>
      </c>
      <c r="B352" t="s">
        <v>5214</v>
      </c>
    </row>
    <row r="353" spans="1:2" x14ac:dyDescent="0.3">
      <c r="A353" t="s">
        <v>5109</v>
      </c>
      <c r="B353" t="s">
        <v>5214</v>
      </c>
    </row>
    <row r="354" spans="1:2" x14ac:dyDescent="0.3">
      <c r="A354" t="s">
        <v>5109</v>
      </c>
      <c r="B354" t="s">
        <v>5215</v>
      </c>
    </row>
    <row r="355" spans="1:2" x14ac:dyDescent="0.3">
      <c r="A355" t="s">
        <v>5109</v>
      </c>
      <c r="B355" t="s">
        <v>5216</v>
      </c>
    </row>
    <row r="356" spans="1:2" x14ac:dyDescent="0.3">
      <c r="A356" t="s">
        <v>5109</v>
      </c>
      <c r="B356" t="s">
        <v>5217</v>
      </c>
    </row>
    <row r="357" spans="1:2" x14ac:dyDescent="0.3">
      <c r="A357" t="s">
        <v>5109</v>
      </c>
      <c r="B357" t="s">
        <v>4429</v>
      </c>
    </row>
    <row r="358" spans="1:2" x14ac:dyDescent="0.3">
      <c r="A358" t="s">
        <v>5109</v>
      </c>
      <c r="B358" t="s">
        <v>4429</v>
      </c>
    </row>
    <row r="359" spans="1:2" x14ac:dyDescent="0.3">
      <c r="A359" t="s">
        <v>5109</v>
      </c>
      <c r="B359" t="s">
        <v>4429</v>
      </c>
    </row>
    <row r="360" spans="1:2" x14ac:dyDescent="0.3">
      <c r="A360" t="s">
        <v>5109</v>
      </c>
      <c r="B360" t="s">
        <v>5218</v>
      </c>
    </row>
    <row r="361" spans="1:2" x14ac:dyDescent="0.3">
      <c r="A361" t="s">
        <v>5109</v>
      </c>
      <c r="B361" t="s">
        <v>5218</v>
      </c>
    </row>
    <row r="362" spans="1:2" x14ac:dyDescent="0.3">
      <c r="A362" t="s">
        <v>5109</v>
      </c>
      <c r="B362" t="s">
        <v>5219</v>
      </c>
    </row>
    <row r="363" spans="1:2" x14ac:dyDescent="0.3">
      <c r="A363" t="s">
        <v>5109</v>
      </c>
      <c r="B363" t="s">
        <v>5219</v>
      </c>
    </row>
    <row r="364" spans="1:2" x14ac:dyDescent="0.3">
      <c r="A364" t="s">
        <v>5109</v>
      </c>
      <c r="B364" t="s">
        <v>5219</v>
      </c>
    </row>
    <row r="365" spans="1:2" x14ac:dyDescent="0.3">
      <c r="A365" t="s">
        <v>5109</v>
      </c>
      <c r="B365" t="s">
        <v>5219</v>
      </c>
    </row>
    <row r="366" spans="1:2" x14ac:dyDescent="0.3">
      <c r="A366" t="s">
        <v>5109</v>
      </c>
      <c r="B366" t="s">
        <v>5219</v>
      </c>
    </row>
    <row r="367" spans="1:2" x14ac:dyDescent="0.3">
      <c r="A367" t="s">
        <v>5109</v>
      </c>
      <c r="B367" t="s">
        <v>5219</v>
      </c>
    </row>
    <row r="368" spans="1:2" x14ac:dyDescent="0.3">
      <c r="A368" t="s">
        <v>5109</v>
      </c>
      <c r="B368" t="s">
        <v>5219</v>
      </c>
    </row>
    <row r="369" spans="1:2" x14ac:dyDescent="0.3">
      <c r="A369" t="s">
        <v>5109</v>
      </c>
      <c r="B369" t="s">
        <v>5220</v>
      </c>
    </row>
    <row r="370" spans="1:2" x14ac:dyDescent="0.3">
      <c r="A370" t="s">
        <v>5109</v>
      </c>
      <c r="B370" t="s">
        <v>536</v>
      </c>
    </row>
    <row r="371" spans="1:2" x14ac:dyDescent="0.3">
      <c r="A371" t="s">
        <v>5109</v>
      </c>
      <c r="B371" t="s">
        <v>536</v>
      </c>
    </row>
    <row r="372" spans="1:2" x14ac:dyDescent="0.3">
      <c r="A372" t="s">
        <v>5109</v>
      </c>
      <c r="B372" t="s">
        <v>536</v>
      </c>
    </row>
    <row r="373" spans="1:2" x14ac:dyDescent="0.3">
      <c r="A373" t="s">
        <v>5109</v>
      </c>
      <c r="B373" t="s">
        <v>536</v>
      </c>
    </row>
    <row r="374" spans="1:2" x14ac:dyDescent="0.3">
      <c r="A374" t="s">
        <v>5109</v>
      </c>
      <c r="B374" t="s">
        <v>536</v>
      </c>
    </row>
    <row r="375" spans="1:2" x14ac:dyDescent="0.3">
      <c r="A375" t="s">
        <v>5109</v>
      </c>
      <c r="B375" t="s">
        <v>536</v>
      </c>
    </row>
    <row r="376" spans="1:2" x14ac:dyDescent="0.3">
      <c r="A376" t="s">
        <v>5109</v>
      </c>
      <c r="B376" t="s">
        <v>536</v>
      </c>
    </row>
    <row r="377" spans="1:2" x14ac:dyDescent="0.3">
      <c r="A377" t="s">
        <v>5109</v>
      </c>
      <c r="B377" t="s">
        <v>2960</v>
      </c>
    </row>
    <row r="378" spans="1:2" x14ac:dyDescent="0.3">
      <c r="A378" t="s">
        <v>5109</v>
      </c>
      <c r="B378" t="s">
        <v>2960</v>
      </c>
    </row>
    <row r="379" spans="1:2" x14ac:dyDescent="0.3">
      <c r="A379" t="s">
        <v>5109</v>
      </c>
      <c r="B379" t="s">
        <v>2960</v>
      </c>
    </row>
    <row r="380" spans="1:2" x14ac:dyDescent="0.3">
      <c r="A380" t="s">
        <v>5109</v>
      </c>
      <c r="B380" t="s">
        <v>5221</v>
      </c>
    </row>
    <row r="381" spans="1:2" x14ac:dyDescent="0.3">
      <c r="A381" t="s">
        <v>5109</v>
      </c>
      <c r="B381" t="s">
        <v>5221</v>
      </c>
    </row>
    <row r="382" spans="1:2" x14ac:dyDescent="0.3">
      <c r="A382" t="s">
        <v>5109</v>
      </c>
      <c r="B382" t="s">
        <v>5221</v>
      </c>
    </row>
    <row r="383" spans="1:2" x14ac:dyDescent="0.3">
      <c r="A383" t="s">
        <v>5109</v>
      </c>
      <c r="B383" t="s">
        <v>5221</v>
      </c>
    </row>
    <row r="384" spans="1:2" x14ac:dyDescent="0.3">
      <c r="A384" t="s">
        <v>5109</v>
      </c>
      <c r="B384" t="s">
        <v>5221</v>
      </c>
    </row>
    <row r="385" spans="1:2" x14ac:dyDescent="0.3">
      <c r="A385" t="s">
        <v>5109</v>
      </c>
      <c r="B385" t="s">
        <v>5221</v>
      </c>
    </row>
    <row r="386" spans="1:2" x14ac:dyDescent="0.3">
      <c r="A386" t="s">
        <v>5109</v>
      </c>
      <c r="B386" t="s">
        <v>1364</v>
      </c>
    </row>
    <row r="387" spans="1:2" x14ac:dyDescent="0.3">
      <c r="A387" t="s">
        <v>5109</v>
      </c>
      <c r="B387" t="s">
        <v>1364</v>
      </c>
    </row>
    <row r="388" spans="1:2" x14ac:dyDescent="0.3">
      <c r="A388" t="s">
        <v>5109</v>
      </c>
      <c r="B388" t="s">
        <v>1311</v>
      </c>
    </row>
    <row r="389" spans="1:2" x14ac:dyDescent="0.3">
      <c r="A389" t="s">
        <v>5109</v>
      </c>
      <c r="B389" t="s">
        <v>5222</v>
      </c>
    </row>
    <row r="390" spans="1:2" x14ac:dyDescent="0.3">
      <c r="A390" t="s">
        <v>5109</v>
      </c>
      <c r="B390" t="s">
        <v>5223</v>
      </c>
    </row>
    <row r="391" spans="1:2" x14ac:dyDescent="0.3">
      <c r="A391" t="s">
        <v>5109</v>
      </c>
      <c r="B391" t="s">
        <v>5224</v>
      </c>
    </row>
    <row r="392" spans="1:2" x14ac:dyDescent="0.3">
      <c r="A392" t="s">
        <v>5109</v>
      </c>
      <c r="B392" t="s">
        <v>5224</v>
      </c>
    </row>
    <row r="393" spans="1:2" x14ac:dyDescent="0.3">
      <c r="A393" t="s">
        <v>5109</v>
      </c>
      <c r="B393" t="s">
        <v>5224</v>
      </c>
    </row>
    <row r="394" spans="1:2" x14ac:dyDescent="0.3">
      <c r="A394" t="s">
        <v>5109</v>
      </c>
      <c r="B394" t="s">
        <v>2673</v>
      </c>
    </row>
    <row r="395" spans="1:2" x14ac:dyDescent="0.3">
      <c r="A395" t="s">
        <v>5109</v>
      </c>
      <c r="B395" t="s">
        <v>5225</v>
      </c>
    </row>
    <row r="396" spans="1:2" x14ac:dyDescent="0.3">
      <c r="A396" t="s">
        <v>5109</v>
      </c>
      <c r="B396" t="s">
        <v>5225</v>
      </c>
    </row>
    <row r="397" spans="1:2" x14ac:dyDescent="0.3">
      <c r="A397" t="s">
        <v>5109</v>
      </c>
      <c r="B397" t="s">
        <v>5225</v>
      </c>
    </row>
    <row r="398" spans="1:2" x14ac:dyDescent="0.3">
      <c r="A398" t="s">
        <v>5109</v>
      </c>
      <c r="B398" t="s">
        <v>5226</v>
      </c>
    </row>
    <row r="399" spans="1:2" x14ac:dyDescent="0.3">
      <c r="A399" t="s">
        <v>5109</v>
      </c>
      <c r="B399" t="s">
        <v>5226</v>
      </c>
    </row>
    <row r="400" spans="1:2" x14ac:dyDescent="0.3">
      <c r="A400" t="s">
        <v>5109</v>
      </c>
      <c r="B400" t="s">
        <v>3115</v>
      </c>
    </row>
    <row r="401" spans="1:2" x14ac:dyDescent="0.3">
      <c r="A401" t="s">
        <v>5109</v>
      </c>
      <c r="B401" t="s">
        <v>3115</v>
      </c>
    </row>
    <row r="402" spans="1:2" x14ac:dyDescent="0.3">
      <c r="A402" t="s">
        <v>5109</v>
      </c>
      <c r="B402" t="s">
        <v>3336</v>
      </c>
    </row>
    <row r="403" spans="1:2" x14ac:dyDescent="0.3">
      <c r="A403" t="s">
        <v>5109</v>
      </c>
      <c r="B403" t="s">
        <v>5227</v>
      </c>
    </row>
    <row r="404" spans="1:2" x14ac:dyDescent="0.3">
      <c r="A404" t="s">
        <v>5109</v>
      </c>
      <c r="B404" t="s">
        <v>5227</v>
      </c>
    </row>
    <row r="405" spans="1:2" x14ac:dyDescent="0.3">
      <c r="A405" t="s">
        <v>5109</v>
      </c>
      <c r="B405" t="s">
        <v>5227</v>
      </c>
    </row>
    <row r="406" spans="1:2" x14ac:dyDescent="0.3">
      <c r="A406" t="s">
        <v>5109</v>
      </c>
      <c r="B406" t="s">
        <v>5227</v>
      </c>
    </row>
    <row r="407" spans="1:2" x14ac:dyDescent="0.3">
      <c r="A407" t="s">
        <v>5109</v>
      </c>
      <c r="B407" t="s">
        <v>1070</v>
      </c>
    </row>
    <row r="408" spans="1:2" x14ac:dyDescent="0.3">
      <c r="A408" t="s">
        <v>5109</v>
      </c>
      <c r="B408" t="s">
        <v>1070</v>
      </c>
    </row>
    <row r="409" spans="1:2" x14ac:dyDescent="0.3">
      <c r="A409" t="s">
        <v>5109</v>
      </c>
      <c r="B409" t="s">
        <v>5228</v>
      </c>
    </row>
    <row r="410" spans="1:2" x14ac:dyDescent="0.3">
      <c r="A410" t="s">
        <v>5109</v>
      </c>
      <c r="B410" t="s">
        <v>5229</v>
      </c>
    </row>
    <row r="411" spans="1:2" x14ac:dyDescent="0.3">
      <c r="A411" t="s">
        <v>5109</v>
      </c>
      <c r="B411" t="s">
        <v>5229</v>
      </c>
    </row>
    <row r="412" spans="1:2" x14ac:dyDescent="0.3">
      <c r="A412" t="s">
        <v>5109</v>
      </c>
      <c r="B412" t="s">
        <v>5229</v>
      </c>
    </row>
    <row r="413" spans="1:2" x14ac:dyDescent="0.3">
      <c r="A413" t="s">
        <v>5109</v>
      </c>
      <c r="B413" t="s">
        <v>5229</v>
      </c>
    </row>
    <row r="414" spans="1:2" x14ac:dyDescent="0.3">
      <c r="A414" t="s">
        <v>5109</v>
      </c>
      <c r="B414" t="s">
        <v>5229</v>
      </c>
    </row>
    <row r="415" spans="1:2" x14ac:dyDescent="0.3">
      <c r="A415" t="s">
        <v>5109</v>
      </c>
      <c r="B415" t="s">
        <v>5229</v>
      </c>
    </row>
    <row r="416" spans="1:2" x14ac:dyDescent="0.3">
      <c r="A416" t="s">
        <v>5109</v>
      </c>
      <c r="B416" t="s">
        <v>5229</v>
      </c>
    </row>
    <row r="417" spans="1:2" x14ac:dyDescent="0.3">
      <c r="A417" t="s">
        <v>5109</v>
      </c>
      <c r="B417" t="s">
        <v>5229</v>
      </c>
    </row>
    <row r="418" spans="1:2" x14ac:dyDescent="0.3">
      <c r="A418" t="s">
        <v>5109</v>
      </c>
      <c r="B418" t="s">
        <v>5229</v>
      </c>
    </row>
    <row r="419" spans="1:2" x14ac:dyDescent="0.3">
      <c r="A419" t="s">
        <v>5109</v>
      </c>
      <c r="B419" t="s">
        <v>5229</v>
      </c>
    </row>
    <row r="420" spans="1:2" x14ac:dyDescent="0.3">
      <c r="A420" t="s">
        <v>5109</v>
      </c>
      <c r="B420" t="s">
        <v>5229</v>
      </c>
    </row>
    <row r="421" spans="1:2" x14ac:dyDescent="0.3">
      <c r="A421" t="s">
        <v>5109</v>
      </c>
      <c r="B421" t="s">
        <v>5230</v>
      </c>
    </row>
    <row r="422" spans="1:2" x14ac:dyDescent="0.3">
      <c r="A422" t="s">
        <v>5109</v>
      </c>
      <c r="B422" t="s">
        <v>5231</v>
      </c>
    </row>
    <row r="423" spans="1:2" x14ac:dyDescent="0.3">
      <c r="A423" t="s">
        <v>5109</v>
      </c>
      <c r="B423" t="s">
        <v>5232</v>
      </c>
    </row>
    <row r="424" spans="1:2" x14ac:dyDescent="0.3">
      <c r="A424" t="s">
        <v>5109</v>
      </c>
      <c r="B424" t="s">
        <v>5233</v>
      </c>
    </row>
    <row r="425" spans="1:2" x14ac:dyDescent="0.3">
      <c r="A425" t="s">
        <v>5109</v>
      </c>
      <c r="B425" t="s">
        <v>5233</v>
      </c>
    </row>
    <row r="426" spans="1:2" x14ac:dyDescent="0.3">
      <c r="A426" t="s">
        <v>5109</v>
      </c>
      <c r="B426" t="s">
        <v>5233</v>
      </c>
    </row>
    <row r="427" spans="1:2" x14ac:dyDescent="0.3">
      <c r="A427" t="s">
        <v>5109</v>
      </c>
      <c r="B427" t="s">
        <v>5233</v>
      </c>
    </row>
    <row r="428" spans="1:2" x14ac:dyDescent="0.3">
      <c r="A428" t="s">
        <v>5109</v>
      </c>
      <c r="B428" t="s">
        <v>5233</v>
      </c>
    </row>
    <row r="429" spans="1:2" x14ac:dyDescent="0.3">
      <c r="A429" t="s">
        <v>5109</v>
      </c>
      <c r="B429" t="s">
        <v>5233</v>
      </c>
    </row>
    <row r="430" spans="1:2" x14ac:dyDescent="0.3">
      <c r="A430" t="s">
        <v>5109</v>
      </c>
      <c r="B430" t="s">
        <v>5233</v>
      </c>
    </row>
    <row r="431" spans="1:2" x14ac:dyDescent="0.3">
      <c r="A431" t="s">
        <v>5109</v>
      </c>
      <c r="B431" t="s">
        <v>5233</v>
      </c>
    </row>
    <row r="432" spans="1:2" x14ac:dyDescent="0.3">
      <c r="A432" t="s">
        <v>5109</v>
      </c>
      <c r="B432" t="s">
        <v>5233</v>
      </c>
    </row>
    <row r="433" spans="1:2" x14ac:dyDescent="0.3">
      <c r="A433" t="s">
        <v>5109</v>
      </c>
      <c r="B433" t="s">
        <v>5233</v>
      </c>
    </row>
    <row r="434" spans="1:2" x14ac:dyDescent="0.3">
      <c r="A434" t="s">
        <v>5109</v>
      </c>
      <c r="B434" t="s">
        <v>5233</v>
      </c>
    </row>
    <row r="435" spans="1:2" x14ac:dyDescent="0.3">
      <c r="A435" t="s">
        <v>5109</v>
      </c>
      <c r="B435" t="s">
        <v>5233</v>
      </c>
    </row>
    <row r="436" spans="1:2" x14ac:dyDescent="0.3">
      <c r="A436" t="s">
        <v>5109</v>
      </c>
      <c r="B436" t="s">
        <v>5233</v>
      </c>
    </row>
    <row r="437" spans="1:2" x14ac:dyDescent="0.3">
      <c r="A437" t="s">
        <v>5109</v>
      </c>
      <c r="B437" t="s">
        <v>5233</v>
      </c>
    </row>
    <row r="438" spans="1:2" x14ac:dyDescent="0.3">
      <c r="A438" t="s">
        <v>5109</v>
      </c>
      <c r="B438" t="s">
        <v>5234</v>
      </c>
    </row>
    <row r="439" spans="1:2" x14ac:dyDescent="0.3">
      <c r="A439" t="s">
        <v>5109</v>
      </c>
      <c r="B439" t="s">
        <v>5235</v>
      </c>
    </row>
    <row r="440" spans="1:2" x14ac:dyDescent="0.3">
      <c r="A440" t="s">
        <v>5109</v>
      </c>
      <c r="B440" t="s">
        <v>5236</v>
      </c>
    </row>
    <row r="441" spans="1:2" x14ac:dyDescent="0.3">
      <c r="A441" t="s">
        <v>5109</v>
      </c>
      <c r="B441" t="s">
        <v>5236</v>
      </c>
    </row>
    <row r="442" spans="1:2" x14ac:dyDescent="0.3">
      <c r="A442" t="s">
        <v>5109</v>
      </c>
      <c r="B442" t="s">
        <v>5237</v>
      </c>
    </row>
    <row r="443" spans="1:2" x14ac:dyDescent="0.3">
      <c r="A443" t="s">
        <v>5109</v>
      </c>
      <c r="B443" t="s">
        <v>5237</v>
      </c>
    </row>
    <row r="444" spans="1:2" x14ac:dyDescent="0.3">
      <c r="A444" t="s">
        <v>5109</v>
      </c>
      <c r="B444" t="s">
        <v>5237</v>
      </c>
    </row>
    <row r="445" spans="1:2" x14ac:dyDescent="0.3">
      <c r="A445" t="s">
        <v>5109</v>
      </c>
      <c r="B445" t="s">
        <v>5238</v>
      </c>
    </row>
    <row r="446" spans="1:2" x14ac:dyDescent="0.3">
      <c r="A446" t="s">
        <v>5109</v>
      </c>
      <c r="B446" t="s">
        <v>5238</v>
      </c>
    </row>
    <row r="447" spans="1:2" x14ac:dyDescent="0.3">
      <c r="A447" t="s">
        <v>5109</v>
      </c>
      <c r="B447" t="s">
        <v>3963</v>
      </c>
    </row>
    <row r="448" spans="1:2" x14ac:dyDescent="0.3">
      <c r="A448" t="s">
        <v>5109</v>
      </c>
      <c r="B448" t="s">
        <v>3963</v>
      </c>
    </row>
    <row r="449" spans="1:2" x14ac:dyDescent="0.3">
      <c r="A449" t="s">
        <v>5109</v>
      </c>
      <c r="B449" t="s">
        <v>3963</v>
      </c>
    </row>
    <row r="450" spans="1:2" x14ac:dyDescent="0.3">
      <c r="A450" t="s">
        <v>5109</v>
      </c>
      <c r="B450" t="s">
        <v>3963</v>
      </c>
    </row>
    <row r="451" spans="1:2" x14ac:dyDescent="0.3">
      <c r="A451" t="s">
        <v>5109</v>
      </c>
      <c r="B451" t="s">
        <v>3963</v>
      </c>
    </row>
    <row r="452" spans="1:2" x14ac:dyDescent="0.3">
      <c r="A452" t="s">
        <v>5109</v>
      </c>
      <c r="B452" t="s">
        <v>5239</v>
      </c>
    </row>
    <row r="453" spans="1:2" x14ac:dyDescent="0.3">
      <c r="A453" t="s">
        <v>5109</v>
      </c>
      <c r="B453" t="s">
        <v>5239</v>
      </c>
    </row>
    <row r="454" spans="1:2" x14ac:dyDescent="0.3">
      <c r="A454" t="s">
        <v>5109</v>
      </c>
      <c r="B454" t="s">
        <v>5239</v>
      </c>
    </row>
    <row r="455" spans="1:2" x14ac:dyDescent="0.3">
      <c r="A455" t="s">
        <v>5109</v>
      </c>
      <c r="B455" t="s">
        <v>5239</v>
      </c>
    </row>
    <row r="456" spans="1:2" x14ac:dyDescent="0.3">
      <c r="A456" t="s">
        <v>5109</v>
      </c>
      <c r="B456" t="s">
        <v>5240</v>
      </c>
    </row>
    <row r="457" spans="1:2" x14ac:dyDescent="0.3">
      <c r="A457" t="s">
        <v>5109</v>
      </c>
      <c r="B457" t="s">
        <v>5241</v>
      </c>
    </row>
    <row r="458" spans="1:2" x14ac:dyDescent="0.3">
      <c r="A458" t="s">
        <v>5109</v>
      </c>
      <c r="B458" t="s">
        <v>5241</v>
      </c>
    </row>
    <row r="459" spans="1:2" x14ac:dyDescent="0.3">
      <c r="A459" t="s">
        <v>5109</v>
      </c>
      <c r="B459" t="s">
        <v>5242</v>
      </c>
    </row>
    <row r="460" spans="1:2" x14ac:dyDescent="0.3">
      <c r="A460" t="s">
        <v>5109</v>
      </c>
      <c r="B460" t="s">
        <v>5242</v>
      </c>
    </row>
    <row r="461" spans="1:2" x14ac:dyDescent="0.3">
      <c r="A461" t="s">
        <v>5109</v>
      </c>
      <c r="B461" t="s">
        <v>5242</v>
      </c>
    </row>
    <row r="462" spans="1:2" x14ac:dyDescent="0.3">
      <c r="A462" t="s">
        <v>5109</v>
      </c>
      <c r="B462" t="s">
        <v>5242</v>
      </c>
    </row>
    <row r="463" spans="1:2" x14ac:dyDescent="0.3">
      <c r="A463" t="s">
        <v>5109</v>
      </c>
      <c r="B463" t="s">
        <v>5242</v>
      </c>
    </row>
    <row r="464" spans="1:2" x14ac:dyDescent="0.3">
      <c r="A464" t="s">
        <v>5109</v>
      </c>
      <c r="B464" t="s">
        <v>5243</v>
      </c>
    </row>
    <row r="465" spans="1:2" x14ac:dyDescent="0.3">
      <c r="A465" t="s">
        <v>5109</v>
      </c>
      <c r="B465" t="s">
        <v>5243</v>
      </c>
    </row>
    <row r="466" spans="1:2" x14ac:dyDescent="0.3">
      <c r="A466" t="s">
        <v>5109</v>
      </c>
      <c r="B466" t="s">
        <v>5243</v>
      </c>
    </row>
    <row r="467" spans="1:2" x14ac:dyDescent="0.3">
      <c r="A467" t="s">
        <v>5109</v>
      </c>
      <c r="B467" t="s">
        <v>5243</v>
      </c>
    </row>
    <row r="468" spans="1:2" x14ac:dyDescent="0.3">
      <c r="A468" t="s">
        <v>5109</v>
      </c>
      <c r="B468" t="s">
        <v>5244</v>
      </c>
    </row>
    <row r="469" spans="1:2" x14ac:dyDescent="0.3">
      <c r="A469" t="s">
        <v>5109</v>
      </c>
      <c r="B469" t="s">
        <v>5244</v>
      </c>
    </row>
    <row r="470" spans="1:2" x14ac:dyDescent="0.3">
      <c r="A470" t="s">
        <v>5109</v>
      </c>
      <c r="B470" t="s">
        <v>5244</v>
      </c>
    </row>
    <row r="471" spans="1:2" x14ac:dyDescent="0.3">
      <c r="A471" t="s">
        <v>5109</v>
      </c>
      <c r="B471" t="s">
        <v>5245</v>
      </c>
    </row>
    <row r="472" spans="1:2" x14ac:dyDescent="0.3">
      <c r="A472" t="s">
        <v>5109</v>
      </c>
      <c r="B472" t="s">
        <v>5245</v>
      </c>
    </row>
    <row r="473" spans="1:2" x14ac:dyDescent="0.3">
      <c r="A473" t="s">
        <v>5109</v>
      </c>
      <c r="B473" t="s">
        <v>5246</v>
      </c>
    </row>
    <row r="474" spans="1:2" x14ac:dyDescent="0.3">
      <c r="A474" t="s">
        <v>5109</v>
      </c>
      <c r="B474" t="s">
        <v>5247</v>
      </c>
    </row>
    <row r="475" spans="1:2" x14ac:dyDescent="0.3">
      <c r="A475" t="s">
        <v>5109</v>
      </c>
      <c r="B475" t="s">
        <v>5247</v>
      </c>
    </row>
    <row r="476" spans="1:2" x14ac:dyDescent="0.3">
      <c r="A476" t="s">
        <v>5109</v>
      </c>
      <c r="B476" t="s">
        <v>2937</v>
      </c>
    </row>
    <row r="477" spans="1:2" x14ac:dyDescent="0.3">
      <c r="A477" t="s">
        <v>5109</v>
      </c>
      <c r="B477" t="s">
        <v>2937</v>
      </c>
    </row>
    <row r="478" spans="1:2" x14ac:dyDescent="0.3">
      <c r="A478" t="s">
        <v>5109</v>
      </c>
      <c r="B478" t="s">
        <v>3134</v>
      </c>
    </row>
    <row r="479" spans="1:2" x14ac:dyDescent="0.3">
      <c r="A479" t="s">
        <v>5109</v>
      </c>
      <c r="B479" t="s">
        <v>3134</v>
      </c>
    </row>
    <row r="480" spans="1:2" x14ac:dyDescent="0.3">
      <c r="A480" t="s">
        <v>5109</v>
      </c>
      <c r="B480" t="s">
        <v>2813</v>
      </c>
    </row>
    <row r="481" spans="1:2" x14ac:dyDescent="0.3">
      <c r="A481" t="s">
        <v>5109</v>
      </c>
      <c r="B481" t="s">
        <v>2813</v>
      </c>
    </row>
    <row r="482" spans="1:2" x14ac:dyDescent="0.3">
      <c r="A482" t="s">
        <v>5109</v>
      </c>
      <c r="B482" t="s">
        <v>2813</v>
      </c>
    </row>
    <row r="483" spans="1:2" x14ac:dyDescent="0.3">
      <c r="A483" t="s">
        <v>5109</v>
      </c>
      <c r="B483" t="s">
        <v>2813</v>
      </c>
    </row>
    <row r="484" spans="1:2" x14ac:dyDescent="0.3">
      <c r="A484" t="s">
        <v>5109</v>
      </c>
      <c r="B484" t="s">
        <v>2813</v>
      </c>
    </row>
    <row r="485" spans="1:2" x14ac:dyDescent="0.3">
      <c r="A485" t="s">
        <v>5109</v>
      </c>
      <c r="B485" t="s">
        <v>5248</v>
      </c>
    </row>
    <row r="486" spans="1:2" x14ac:dyDescent="0.3">
      <c r="A486" t="s">
        <v>5109</v>
      </c>
      <c r="B486" t="s">
        <v>5249</v>
      </c>
    </row>
    <row r="487" spans="1:2" x14ac:dyDescent="0.3">
      <c r="A487" t="s">
        <v>5109</v>
      </c>
      <c r="B487" t="s">
        <v>5250</v>
      </c>
    </row>
    <row r="488" spans="1:2" x14ac:dyDescent="0.3">
      <c r="A488" t="s">
        <v>5109</v>
      </c>
      <c r="B488" t="s">
        <v>5251</v>
      </c>
    </row>
    <row r="489" spans="1:2" x14ac:dyDescent="0.3">
      <c r="A489" t="s">
        <v>5109</v>
      </c>
      <c r="B489" t="s">
        <v>5251</v>
      </c>
    </row>
    <row r="490" spans="1:2" x14ac:dyDescent="0.3">
      <c r="A490" t="s">
        <v>5109</v>
      </c>
      <c r="B490" t="s">
        <v>5252</v>
      </c>
    </row>
    <row r="491" spans="1:2" x14ac:dyDescent="0.3">
      <c r="A491" t="s">
        <v>5109</v>
      </c>
      <c r="B491" t="s">
        <v>5252</v>
      </c>
    </row>
    <row r="492" spans="1:2" x14ac:dyDescent="0.3">
      <c r="A492" t="s">
        <v>5109</v>
      </c>
      <c r="B492" t="s">
        <v>5252</v>
      </c>
    </row>
    <row r="493" spans="1:2" x14ac:dyDescent="0.3">
      <c r="A493" t="s">
        <v>5109</v>
      </c>
      <c r="B493" t="s">
        <v>5252</v>
      </c>
    </row>
    <row r="494" spans="1:2" x14ac:dyDescent="0.3">
      <c r="A494" t="s">
        <v>5109</v>
      </c>
      <c r="B494" t="s">
        <v>5252</v>
      </c>
    </row>
    <row r="495" spans="1:2" x14ac:dyDescent="0.3">
      <c r="A495" t="s">
        <v>5109</v>
      </c>
      <c r="B495" t="s">
        <v>5252</v>
      </c>
    </row>
    <row r="496" spans="1:2" x14ac:dyDescent="0.3">
      <c r="A496" t="s">
        <v>5109</v>
      </c>
      <c r="B496" t="s">
        <v>5252</v>
      </c>
    </row>
    <row r="497" spans="1:2" x14ac:dyDescent="0.3">
      <c r="A497" t="s">
        <v>5109</v>
      </c>
      <c r="B497" t="s">
        <v>5253</v>
      </c>
    </row>
    <row r="498" spans="1:2" x14ac:dyDescent="0.3">
      <c r="A498" t="s">
        <v>5109</v>
      </c>
      <c r="B498" t="s">
        <v>5253</v>
      </c>
    </row>
    <row r="499" spans="1:2" x14ac:dyDescent="0.3">
      <c r="A499" t="s">
        <v>5109</v>
      </c>
      <c r="B499" t="s">
        <v>5253</v>
      </c>
    </row>
    <row r="500" spans="1:2" x14ac:dyDescent="0.3">
      <c r="A500" t="s">
        <v>5109</v>
      </c>
      <c r="B500" t="s">
        <v>5254</v>
      </c>
    </row>
    <row r="501" spans="1:2" x14ac:dyDescent="0.3">
      <c r="A501" t="s">
        <v>5109</v>
      </c>
      <c r="B501" t="s">
        <v>5254</v>
      </c>
    </row>
    <row r="502" spans="1:2" x14ac:dyDescent="0.3">
      <c r="A502" t="s">
        <v>5109</v>
      </c>
      <c r="B502" t="s">
        <v>5254</v>
      </c>
    </row>
    <row r="503" spans="1:2" x14ac:dyDescent="0.3">
      <c r="A503" t="s">
        <v>5109</v>
      </c>
      <c r="B503" t="s">
        <v>5255</v>
      </c>
    </row>
    <row r="504" spans="1:2" x14ac:dyDescent="0.3">
      <c r="A504" t="s">
        <v>5109</v>
      </c>
      <c r="B504" t="s">
        <v>5256</v>
      </c>
    </row>
    <row r="505" spans="1:2" x14ac:dyDescent="0.3">
      <c r="A505" t="s">
        <v>5109</v>
      </c>
      <c r="B505" t="s">
        <v>5256</v>
      </c>
    </row>
    <row r="506" spans="1:2" x14ac:dyDescent="0.3">
      <c r="A506" t="s">
        <v>5109</v>
      </c>
      <c r="B506" t="s">
        <v>5257</v>
      </c>
    </row>
    <row r="507" spans="1:2" x14ac:dyDescent="0.3">
      <c r="A507" t="s">
        <v>5109</v>
      </c>
      <c r="B507" t="s">
        <v>5257</v>
      </c>
    </row>
    <row r="508" spans="1:2" x14ac:dyDescent="0.3">
      <c r="A508" t="s">
        <v>5109</v>
      </c>
      <c r="B508" t="s">
        <v>3534</v>
      </c>
    </row>
    <row r="509" spans="1:2" x14ac:dyDescent="0.3">
      <c r="A509" t="s">
        <v>5109</v>
      </c>
      <c r="B509" t="s">
        <v>3534</v>
      </c>
    </row>
    <row r="510" spans="1:2" x14ac:dyDescent="0.3">
      <c r="A510" t="s">
        <v>5109</v>
      </c>
      <c r="B510" t="s">
        <v>3534</v>
      </c>
    </row>
    <row r="511" spans="1:2" x14ac:dyDescent="0.3">
      <c r="A511" t="s">
        <v>5109</v>
      </c>
      <c r="B511" t="s">
        <v>3534</v>
      </c>
    </row>
    <row r="512" spans="1:2" x14ac:dyDescent="0.3">
      <c r="A512" t="s">
        <v>5109</v>
      </c>
      <c r="B512" t="s">
        <v>3534</v>
      </c>
    </row>
    <row r="513" spans="1:2" x14ac:dyDescent="0.3">
      <c r="A513" t="s">
        <v>5109</v>
      </c>
      <c r="B513" t="s">
        <v>3534</v>
      </c>
    </row>
    <row r="514" spans="1:2" x14ac:dyDescent="0.3">
      <c r="A514" t="s">
        <v>5109</v>
      </c>
      <c r="B514" t="s">
        <v>5258</v>
      </c>
    </row>
    <row r="515" spans="1:2" x14ac:dyDescent="0.3">
      <c r="A515" t="s">
        <v>5109</v>
      </c>
      <c r="B515" t="s">
        <v>5258</v>
      </c>
    </row>
    <row r="516" spans="1:2" x14ac:dyDescent="0.3">
      <c r="A516" t="s">
        <v>5109</v>
      </c>
      <c r="B516" t="s">
        <v>5259</v>
      </c>
    </row>
    <row r="517" spans="1:2" x14ac:dyDescent="0.3">
      <c r="A517" t="s">
        <v>5109</v>
      </c>
      <c r="B517" t="s">
        <v>5259</v>
      </c>
    </row>
    <row r="518" spans="1:2" x14ac:dyDescent="0.3">
      <c r="A518" t="s">
        <v>5109</v>
      </c>
      <c r="B518" t="s">
        <v>5259</v>
      </c>
    </row>
    <row r="519" spans="1:2" x14ac:dyDescent="0.3">
      <c r="A519" t="s">
        <v>5109</v>
      </c>
      <c r="B519" t="s">
        <v>5259</v>
      </c>
    </row>
    <row r="520" spans="1:2" x14ac:dyDescent="0.3">
      <c r="A520" t="s">
        <v>5109</v>
      </c>
      <c r="B520" t="s">
        <v>5259</v>
      </c>
    </row>
    <row r="521" spans="1:2" x14ac:dyDescent="0.3">
      <c r="A521" t="s">
        <v>5109</v>
      </c>
      <c r="B521" t="s">
        <v>5260</v>
      </c>
    </row>
    <row r="522" spans="1:2" x14ac:dyDescent="0.3">
      <c r="A522" t="s">
        <v>5109</v>
      </c>
      <c r="B522" t="s">
        <v>5260</v>
      </c>
    </row>
    <row r="523" spans="1:2" x14ac:dyDescent="0.3">
      <c r="A523" t="s">
        <v>5109</v>
      </c>
      <c r="B523" t="s">
        <v>5260</v>
      </c>
    </row>
    <row r="524" spans="1:2" x14ac:dyDescent="0.3">
      <c r="A524" t="s">
        <v>5109</v>
      </c>
      <c r="B524" t="s">
        <v>5260</v>
      </c>
    </row>
    <row r="525" spans="1:2" x14ac:dyDescent="0.3">
      <c r="A525" t="s">
        <v>5109</v>
      </c>
      <c r="B525" t="s">
        <v>5260</v>
      </c>
    </row>
    <row r="526" spans="1:2" x14ac:dyDescent="0.3">
      <c r="A526" t="s">
        <v>5109</v>
      </c>
      <c r="B526" t="s">
        <v>5260</v>
      </c>
    </row>
    <row r="527" spans="1:2" x14ac:dyDescent="0.3">
      <c r="A527" t="s">
        <v>5109</v>
      </c>
      <c r="B527" t="s">
        <v>5261</v>
      </c>
    </row>
    <row r="528" spans="1:2" x14ac:dyDescent="0.3">
      <c r="A528" t="s">
        <v>5109</v>
      </c>
      <c r="B528" t="s">
        <v>5262</v>
      </c>
    </row>
    <row r="529" spans="1:2" x14ac:dyDescent="0.3">
      <c r="A529" t="s">
        <v>5109</v>
      </c>
      <c r="B529" t="s">
        <v>5262</v>
      </c>
    </row>
    <row r="530" spans="1:2" x14ac:dyDescent="0.3">
      <c r="A530" t="s">
        <v>5109</v>
      </c>
      <c r="B530" t="s">
        <v>5263</v>
      </c>
    </row>
    <row r="531" spans="1:2" x14ac:dyDescent="0.3">
      <c r="A531" t="s">
        <v>5109</v>
      </c>
      <c r="B531" t="s">
        <v>5263</v>
      </c>
    </row>
    <row r="532" spans="1:2" x14ac:dyDescent="0.3">
      <c r="A532" t="s">
        <v>5109</v>
      </c>
      <c r="B532" t="s">
        <v>5263</v>
      </c>
    </row>
    <row r="533" spans="1:2" x14ac:dyDescent="0.3">
      <c r="A533" t="s">
        <v>5109</v>
      </c>
      <c r="B533" t="s">
        <v>5263</v>
      </c>
    </row>
    <row r="534" spans="1:2" x14ac:dyDescent="0.3">
      <c r="A534" t="s">
        <v>5109</v>
      </c>
      <c r="B534" t="s">
        <v>4151</v>
      </c>
    </row>
    <row r="535" spans="1:2" x14ac:dyDescent="0.3">
      <c r="A535" t="s">
        <v>5109</v>
      </c>
      <c r="B535" t="s">
        <v>4151</v>
      </c>
    </row>
    <row r="536" spans="1:2" x14ac:dyDescent="0.3">
      <c r="A536" t="s">
        <v>5109</v>
      </c>
      <c r="B536" t="s">
        <v>4151</v>
      </c>
    </row>
    <row r="537" spans="1:2" x14ac:dyDescent="0.3">
      <c r="A537" t="s">
        <v>5109</v>
      </c>
      <c r="B537" t="s">
        <v>5264</v>
      </c>
    </row>
    <row r="538" spans="1:2" x14ac:dyDescent="0.3">
      <c r="A538" t="s">
        <v>5109</v>
      </c>
      <c r="B538" t="s">
        <v>5264</v>
      </c>
    </row>
    <row r="539" spans="1:2" x14ac:dyDescent="0.3">
      <c r="A539" t="s">
        <v>5109</v>
      </c>
      <c r="B539" t="s">
        <v>5264</v>
      </c>
    </row>
    <row r="540" spans="1:2" x14ac:dyDescent="0.3">
      <c r="A540" t="s">
        <v>5109</v>
      </c>
      <c r="B540" t="s">
        <v>5264</v>
      </c>
    </row>
    <row r="541" spans="1:2" x14ac:dyDescent="0.3">
      <c r="A541" t="s">
        <v>5109</v>
      </c>
      <c r="B541" t="s">
        <v>5264</v>
      </c>
    </row>
    <row r="542" spans="1:2" x14ac:dyDescent="0.3">
      <c r="A542" t="s">
        <v>5109</v>
      </c>
      <c r="B542" t="s">
        <v>5264</v>
      </c>
    </row>
    <row r="543" spans="1:2" x14ac:dyDescent="0.3">
      <c r="A543" t="s">
        <v>5109</v>
      </c>
      <c r="B543" t="s">
        <v>4509</v>
      </c>
    </row>
    <row r="544" spans="1:2" x14ac:dyDescent="0.3">
      <c r="A544" t="s">
        <v>5109</v>
      </c>
      <c r="B544" t="s">
        <v>4509</v>
      </c>
    </row>
    <row r="545" spans="1:2" x14ac:dyDescent="0.3">
      <c r="A545" t="s">
        <v>5109</v>
      </c>
      <c r="B545" t="s">
        <v>5265</v>
      </c>
    </row>
    <row r="546" spans="1:2" x14ac:dyDescent="0.3">
      <c r="A546" t="s">
        <v>5109</v>
      </c>
      <c r="B546" t="s">
        <v>5266</v>
      </c>
    </row>
    <row r="547" spans="1:2" x14ac:dyDescent="0.3">
      <c r="A547" t="s">
        <v>5109</v>
      </c>
      <c r="B547" t="s">
        <v>5266</v>
      </c>
    </row>
    <row r="548" spans="1:2" x14ac:dyDescent="0.3">
      <c r="A548" t="s">
        <v>5109</v>
      </c>
      <c r="B548" t="s">
        <v>5266</v>
      </c>
    </row>
    <row r="549" spans="1:2" x14ac:dyDescent="0.3">
      <c r="A549" t="s">
        <v>5109</v>
      </c>
      <c r="B549" t="s">
        <v>5266</v>
      </c>
    </row>
    <row r="550" spans="1:2" x14ac:dyDescent="0.3">
      <c r="A550" t="s">
        <v>5109</v>
      </c>
      <c r="B550" t="s">
        <v>5266</v>
      </c>
    </row>
    <row r="551" spans="1:2" x14ac:dyDescent="0.3">
      <c r="A551" t="s">
        <v>5109</v>
      </c>
      <c r="B551" t="s">
        <v>5267</v>
      </c>
    </row>
    <row r="552" spans="1:2" x14ac:dyDescent="0.3">
      <c r="A552" t="s">
        <v>5109</v>
      </c>
      <c r="B552" t="s">
        <v>5267</v>
      </c>
    </row>
    <row r="553" spans="1:2" x14ac:dyDescent="0.3">
      <c r="A553" t="s">
        <v>5109</v>
      </c>
      <c r="B553" t="s">
        <v>5268</v>
      </c>
    </row>
    <row r="554" spans="1:2" x14ac:dyDescent="0.3">
      <c r="A554" t="s">
        <v>5109</v>
      </c>
      <c r="B554" t="s">
        <v>2466</v>
      </c>
    </row>
    <row r="555" spans="1:2" x14ac:dyDescent="0.3">
      <c r="A555" t="s">
        <v>5109</v>
      </c>
      <c r="B555" t="s">
        <v>2466</v>
      </c>
    </row>
    <row r="556" spans="1:2" x14ac:dyDescent="0.3">
      <c r="A556" t="s">
        <v>5109</v>
      </c>
      <c r="B556" t="s">
        <v>5269</v>
      </c>
    </row>
    <row r="557" spans="1:2" x14ac:dyDescent="0.3">
      <c r="A557" t="s">
        <v>5109</v>
      </c>
      <c r="B557" t="s">
        <v>5269</v>
      </c>
    </row>
    <row r="558" spans="1:2" x14ac:dyDescent="0.3">
      <c r="A558" t="s">
        <v>5109</v>
      </c>
      <c r="B558" t="s">
        <v>5269</v>
      </c>
    </row>
    <row r="559" spans="1:2" x14ac:dyDescent="0.3">
      <c r="A559" t="s">
        <v>5109</v>
      </c>
      <c r="B559" t="s">
        <v>5270</v>
      </c>
    </row>
    <row r="560" spans="1:2" x14ac:dyDescent="0.3">
      <c r="A560" t="s">
        <v>5109</v>
      </c>
      <c r="B560" t="s">
        <v>1666</v>
      </c>
    </row>
    <row r="561" spans="1:2" x14ac:dyDescent="0.3">
      <c r="A561" t="s">
        <v>5109</v>
      </c>
      <c r="B561" t="s">
        <v>5271</v>
      </c>
    </row>
    <row r="562" spans="1:2" x14ac:dyDescent="0.3">
      <c r="A562" t="s">
        <v>5109</v>
      </c>
      <c r="B562" t="s">
        <v>5271</v>
      </c>
    </row>
    <row r="563" spans="1:2" x14ac:dyDescent="0.3">
      <c r="A563" t="s">
        <v>5109</v>
      </c>
      <c r="B563" t="s">
        <v>4419</v>
      </c>
    </row>
    <row r="564" spans="1:2" x14ac:dyDescent="0.3">
      <c r="A564" t="s">
        <v>5109</v>
      </c>
      <c r="B564" t="s">
        <v>4419</v>
      </c>
    </row>
    <row r="565" spans="1:2" x14ac:dyDescent="0.3">
      <c r="A565" t="s">
        <v>5109</v>
      </c>
      <c r="B565" t="s">
        <v>4419</v>
      </c>
    </row>
    <row r="566" spans="1:2" x14ac:dyDescent="0.3">
      <c r="A566" t="s">
        <v>5109</v>
      </c>
      <c r="B566" t="s">
        <v>4419</v>
      </c>
    </row>
    <row r="567" spans="1:2" x14ac:dyDescent="0.3">
      <c r="A567" t="s">
        <v>5109</v>
      </c>
      <c r="B567" t="s">
        <v>5272</v>
      </c>
    </row>
    <row r="568" spans="1:2" x14ac:dyDescent="0.3">
      <c r="A568" t="s">
        <v>5109</v>
      </c>
      <c r="B568" t="s">
        <v>5273</v>
      </c>
    </row>
    <row r="569" spans="1:2" x14ac:dyDescent="0.3">
      <c r="A569" t="s">
        <v>5109</v>
      </c>
      <c r="B569" t="s">
        <v>5274</v>
      </c>
    </row>
    <row r="570" spans="1:2" x14ac:dyDescent="0.3">
      <c r="A570" t="s">
        <v>5109</v>
      </c>
      <c r="B570" t="s">
        <v>5274</v>
      </c>
    </row>
    <row r="571" spans="1:2" x14ac:dyDescent="0.3">
      <c r="A571" t="s">
        <v>5109</v>
      </c>
      <c r="B571" t="s">
        <v>5274</v>
      </c>
    </row>
    <row r="572" spans="1:2" x14ac:dyDescent="0.3">
      <c r="A572" t="s">
        <v>5109</v>
      </c>
      <c r="B572" t="s">
        <v>5275</v>
      </c>
    </row>
    <row r="573" spans="1:2" x14ac:dyDescent="0.3">
      <c r="A573" t="s">
        <v>5109</v>
      </c>
      <c r="B573" t="s">
        <v>5275</v>
      </c>
    </row>
    <row r="574" spans="1:2" x14ac:dyDescent="0.3">
      <c r="A574" t="s">
        <v>5109</v>
      </c>
      <c r="B574" t="s">
        <v>5275</v>
      </c>
    </row>
    <row r="575" spans="1:2" x14ac:dyDescent="0.3">
      <c r="A575" t="s">
        <v>5109</v>
      </c>
      <c r="B575" t="s">
        <v>5275</v>
      </c>
    </row>
    <row r="576" spans="1:2" x14ac:dyDescent="0.3">
      <c r="A576" t="s">
        <v>5109</v>
      </c>
      <c r="B576" t="s">
        <v>5275</v>
      </c>
    </row>
    <row r="577" spans="1:2" x14ac:dyDescent="0.3">
      <c r="A577" t="s">
        <v>5109</v>
      </c>
      <c r="B577" t="s">
        <v>5276</v>
      </c>
    </row>
    <row r="578" spans="1:2" x14ac:dyDescent="0.3">
      <c r="A578" t="s">
        <v>5109</v>
      </c>
      <c r="B578" t="s">
        <v>5276</v>
      </c>
    </row>
    <row r="579" spans="1:2" x14ac:dyDescent="0.3">
      <c r="A579" t="s">
        <v>5109</v>
      </c>
      <c r="B579" t="s">
        <v>5276</v>
      </c>
    </row>
    <row r="580" spans="1:2" x14ac:dyDescent="0.3">
      <c r="A580" t="s">
        <v>5109</v>
      </c>
      <c r="B580" t="s">
        <v>1454</v>
      </c>
    </row>
    <row r="581" spans="1:2" x14ac:dyDescent="0.3">
      <c r="A581" t="s">
        <v>5109</v>
      </c>
      <c r="B581" t="s">
        <v>1454</v>
      </c>
    </row>
    <row r="582" spans="1:2" x14ac:dyDescent="0.3">
      <c r="A582" t="s">
        <v>5109</v>
      </c>
      <c r="B582" t="s">
        <v>1454</v>
      </c>
    </row>
    <row r="583" spans="1:2" x14ac:dyDescent="0.3">
      <c r="A583" t="s">
        <v>5109</v>
      </c>
      <c r="B583" t="s">
        <v>5277</v>
      </c>
    </row>
    <row r="584" spans="1:2" x14ac:dyDescent="0.3">
      <c r="A584" t="s">
        <v>5109</v>
      </c>
      <c r="B584" t="s">
        <v>5277</v>
      </c>
    </row>
    <row r="585" spans="1:2" x14ac:dyDescent="0.3">
      <c r="A585" t="s">
        <v>5109</v>
      </c>
      <c r="B585" t="s">
        <v>5277</v>
      </c>
    </row>
    <row r="586" spans="1:2" x14ac:dyDescent="0.3">
      <c r="A586" t="s">
        <v>5109</v>
      </c>
      <c r="B586" t="s">
        <v>5278</v>
      </c>
    </row>
    <row r="587" spans="1:2" x14ac:dyDescent="0.3">
      <c r="A587" t="s">
        <v>5109</v>
      </c>
      <c r="B587" t="s">
        <v>5279</v>
      </c>
    </row>
    <row r="588" spans="1:2" x14ac:dyDescent="0.3">
      <c r="A588" t="s">
        <v>5109</v>
      </c>
      <c r="B588" t="s">
        <v>5279</v>
      </c>
    </row>
    <row r="589" spans="1:2" x14ac:dyDescent="0.3">
      <c r="A589" t="s">
        <v>5109</v>
      </c>
      <c r="B589" t="s">
        <v>5279</v>
      </c>
    </row>
    <row r="590" spans="1:2" x14ac:dyDescent="0.3">
      <c r="A590" t="s">
        <v>5109</v>
      </c>
      <c r="B590" t="s">
        <v>5279</v>
      </c>
    </row>
    <row r="591" spans="1:2" x14ac:dyDescent="0.3">
      <c r="A591" t="s">
        <v>5109</v>
      </c>
      <c r="B591" t="s">
        <v>5280</v>
      </c>
    </row>
    <row r="592" spans="1:2" x14ac:dyDescent="0.3">
      <c r="A592" t="s">
        <v>5109</v>
      </c>
      <c r="B592" t="s">
        <v>5280</v>
      </c>
    </row>
    <row r="593" spans="1:2" x14ac:dyDescent="0.3">
      <c r="A593" t="s">
        <v>5109</v>
      </c>
      <c r="B593" t="s">
        <v>3671</v>
      </c>
    </row>
    <row r="594" spans="1:2" x14ac:dyDescent="0.3">
      <c r="A594" t="s">
        <v>5109</v>
      </c>
      <c r="B594" t="s">
        <v>5281</v>
      </c>
    </row>
    <row r="595" spans="1:2" x14ac:dyDescent="0.3">
      <c r="A595" t="s">
        <v>5109</v>
      </c>
      <c r="B595" t="s">
        <v>5281</v>
      </c>
    </row>
    <row r="596" spans="1:2" x14ac:dyDescent="0.3">
      <c r="A596" t="s">
        <v>5109</v>
      </c>
      <c r="B596" t="s">
        <v>5282</v>
      </c>
    </row>
    <row r="597" spans="1:2" x14ac:dyDescent="0.3">
      <c r="A597" t="s">
        <v>5109</v>
      </c>
      <c r="B597" t="s">
        <v>5282</v>
      </c>
    </row>
    <row r="598" spans="1:2" x14ac:dyDescent="0.3">
      <c r="A598" t="s">
        <v>5109</v>
      </c>
      <c r="B598" t="s">
        <v>5282</v>
      </c>
    </row>
    <row r="599" spans="1:2" x14ac:dyDescent="0.3">
      <c r="A599" t="s">
        <v>5109</v>
      </c>
      <c r="B599" t="s">
        <v>5283</v>
      </c>
    </row>
    <row r="600" spans="1:2" x14ac:dyDescent="0.3">
      <c r="A600" t="s">
        <v>5109</v>
      </c>
      <c r="B600" t="s">
        <v>5284</v>
      </c>
    </row>
    <row r="601" spans="1:2" x14ac:dyDescent="0.3">
      <c r="A601" t="s">
        <v>5109</v>
      </c>
      <c r="B601" t="s">
        <v>5284</v>
      </c>
    </row>
    <row r="602" spans="1:2" x14ac:dyDescent="0.3">
      <c r="A602" t="s">
        <v>5109</v>
      </c>
      <c r="B602" t="s">
        <v>5284</v>
      </c>
    </row>
    <row r="603" spans="1:2" x14ac:dyDescent="0.3">
      <c r="A603" t="s">
        <v>5109</v>
      </c>
      <c r="B603" t="s">
        <v>5285</v>
      </c>
    </row>
    <row r="604" spans="1:2" x14ac:dyDescent="0.3">
      <c r="A604" t="s">
        <v>5109</v>
      </c>
      <c r="B604" t="s">
        <v>5285</v>
      </c>
    </row>
    <row r="605" spans="1:2" x14ac:dyDescent="0.3">
      <c r="A605" t="s">
        <v>5109</v>
      </c>
      <c r="B605" t="s">
        <v>5285</v>
      </c>
    </row>
    <row r="606" spans="1:2" x14ac:dyDescent="0.3">
      <c r="A606" t="s">
        <v>5109</v>
      </c>
      <c r="B606" t="s">
        <v>5286</v>
      </c>
    </row>
    <row r="607" spans="1:2" x14ac:dyDescent="0.3">
      <c r="A607" t="s">
        <v>5109</v>
      </c>
      <c r="B607" t="s">
        <v>5287</v>
      </c>
    </row>
    <row r="608" spans="1:2" x14ac:dyDescent="0.3">
      <c r="A608" t="s">
        <v>5109</v>
      </c>
      <c r="B608" t="s">
        <v>5287</v>
      </c>
    </row>
    <row r="609" spans="1:2" x14ac:dyDescent="0.3">
      <c r="A609" t="s">
        <v>5109</v>
      </c>
      <c r="B609" t="s">
        <v>5287</v>
      </c>
    </row>
    <row r="610" spans="1:2" x14ac:dyDescent="0.3">
      <c r="A610" t="s">
        <v>5109</v>
      </c>
      <c r="B610" t="s">
        <v>5287</v>
      </c>
    </row>
    <row r="611" spans="1:2" x14ac:dyDescent="0.3">
      <c r="A611" t="s">
        <v>5109</v>
      </c>
      <c r="B611" t="s">
        <v>5287</v>
      </c>
    </row>
    <row r="612" spans="1:2" x14ac:dyDescent="0.3">
      <c r="A612" t="s">
        <v>5109</v>
      </c>
      <c r="B612" t="s">
        <v>5288</v>
      </c>
    </row>
    <row r="613" spans="1:2" x14ac:dyDescent="0.3">
      <c r="A613" t="s">
        <v>5109</v>
      </c>
      <c r="B613" t="s">
        <v>5289</v>
      </c>
    </row>
    <row r="614" spans="1:2" x14ac:dyDescent="0.3">
      <c r="A614" t="s">
        <v>5109</v>
      </c>
      <c r="B614" t="s">
        <v>5289</v>
      </c>
    </row>
    <row r="615" spans="1:2" x14ac:dyDescent="0.3">
      <c r="A615" t="s">
        <v>5109</v>
      </c>
      <c r="B615" t="s">
        <v>5289</v>
      </c>
    </row>
    <row r="616" spans="1:2" x14ac:dyDescent="0.3">
      <c r="A616" t="s">
        <v>5109</v>
      </c>
      <c r="B616" t="s">
        <v>5289</v>
      </c>
    </row>
    <row r="617" spans="1:2" x14ac:dyDescent="0.3">
      <c r="A617" t="s">
        <v>5109</v>
      </c>
      <c r="B617" t="s">
        <v>5290</v>
      </c>
    </row>
    <row r="618" spans="1:2" x14ac:dyDescent="0.3">
      <c r="A618" t="s">
        <v>5109</v>
      </c>
      <c r="B618" t="s">
        <v>5290</v>
      </c>
    </row>
    <row r="619" spans="1:2" x14ac:dyDescent="0.3">
      <c r="A619" t="s">
        <v>5109</v>
      </c>
      <c r="B619" t="s">
        <v>1377</v>
      </c>
    </row>
    <row r="620" spans="1:2" x14ac:dyDescent="0.3">
      <c r="A620" t="s">
        <v>5109</v>
      </c>
      <c r="B620" t="s">
        <v>5291</v>
      </c>
    </row>
    <row r="621" spans="1:2" x14ac:dyDescent="0.3">
      <c r="A621" t="s">
        <v>5109</v>
      </c>
      <c r="B621" t="s">
        <v>5292</v>
      </c>
    </row>
    <row r="622" spans="1:2" x14ac:dyDescent="0.3">
      <c r="A622" t="s">
        <v>5109</v>
      </c>
      <c r="B622" t="s">
        <v>5293</v>
      </c>
    </row>
    <row r="623" spans="1:2" x14ac:dyDescent="0.3">
      <c r="A623" t="s">
        <v>5109</v>
      </c>
      <c r="B623" t="s">
        <v>5294</v>
      </c>
    </row>
    <row r="624" spans="1:2" x14ac:dyDescent="0.3">
      <c r="A624" t="s">
        <v>5109</v>
      </c>
      <c r="B624" t="s">
        <v>5294</v>
      </c>
    </row>
    <row r="625" spans="1:2" x14ac:dyDescent="0.3">
      <c r="A625" t="s">
        <v>5109</v>
      </c>
      <c r="B625" t="s">
        <v>5294</v>
      </c>
    </row>
    <row r="626" spans="1:2" x14ac:dyDescent="0.3">
      <c r="A626" t="s">
        <v>5109</v>
      </c>
      <c r="B626" t="s">
        <v>5294</v>
      </c>
    </row>
    <row r="627" spans="1:2" x14ac:dyDescent="0.3">
      <c r="A627" t="s">
        <v>5109</v>
      </c>
      <c r="B627" t="s">
        <v>5294</v>
      </c>
    </row>
    <row r="628" spans="1:2" x14ac:dyDescent="0.3">
      <c r="A628" t="s">
        <v>5109</v>
      </c>
      <c r="B628" t="s">
        <v>5295</v>
      </c>
    </row>
    <row r="629" spans="1:2" x14ac:dyDescent="0.3">
      <c r="A629" t="s">
        <v>5109</v>
      </c>
      <c r="B629" t="s">
        <v>5296</v>
      </c>
    </row>
    <row r="630" spans="1:2" x14ac:dyDescent="0.3">
      <c r="A630" t="s">
        <v>5109</v>
      </c>
      <c r="B630" t="s">
        <v>5297</v>
      </c>
    </row>
    <row r="631" spans="1:2" x14ac:dyDescent="0.3">
      <c r="A631" t="s">
        <v>5109</v>
      </c>
      <c r="B631" t="s">
        <v>5298</v>
      </c>
    </row>
    <row r="632" spans="1:2" x14ac:dyDescent="0.3">
      <c r="A632" t="s">
        <v>5109</v>
      </c>
      <c r="B632" t="s">
        <v>5298</v>
      </c>
    </row>
    <row r="633" spans="1:2" x14ac:dyDescent="0.3">
      <c r="A633" t="s">
        <v>5109</v>
      </c>
      <c r="B633" t="s">
        <v>5299</v>
      </c>
    </row>
    <row r="634" spans="1:2" x14ac:dyDescent="0.3">
      <c r="A634" t="s">
        <v>5109</v>
      </c>
      <c r="B634" t="s">
        <v>5300</v>
      </c>
    </row>
    <row r="635" spans="1:2" x14ac:dyDescent="0.3">
      <c r="A635" t="s">
        <v>5109</v>
      </c>
      <c r="B635" t="s">
        <v>5300</v>
      </c>
    </row>
    <row r="636" spans="1:2" x14ac:dyDescent="0.3">
      <c r="A636" t="s">
        <v>5109</v>
      </c>
      <c r="B636" t="s">
        <v>5300</v>
      </c>
    </row>
    <row r="637" spans="1:2" x14ac:dyDescent="0.3">
      <c r="A637" t="s">
        <v>5109</v>
      </c>
      <c r="B637" t="s">
        <v>5300</v>
      </c>
    </row>
    <row r="638" spans="1:2" x14ac:dyDescent="0.3">
      <c r="A638" t="s">
        <v>5109</v>
      </c>
      <c r="B638" t="s">
        <v>5300</v>
      </c>
    </row>
    <row r="639" spans="1:2" x14ac:dyDescent="0.3">
      <c r="A639" t="s">
        <v>5109</v>
      </c>
      <c r="B639" t="s">
        <v>5300</v>
      </c>
    </row>
    <row r="640" spans="1:2" x14ac:dyDescent="0.3">
      <c r="A640" t="s">
        <v>5109</v>
      </c>
      <c r="B640" t="s">
        <v>5300</v>
      </c>
    </row>
    <row r="641" spans="1:2" x14ac:dyDescent="0.3">
      <c r="A641" t="s">
        <v>5109</v>
      </c>
      <c r="B641" t="s">
        <v>5300</v>
      </c>
    </row>
    <row r="642" spans="1:2" x14ac:dyDescent="0.3">
      <c r="A642" t="s">
        <v>5109</v>
      </c>
      <c r="B642" t="s">
        <v>5301</v>
      </c>
    </row>
    <row r="643" spans="1:2" x14ac:dyDescent="0.3">
      <c r="A643" t="s">
        <v>5109</v>
      </c>
      <c r="B643" t="s">
        <v>5301</v>
      </c>
    </row>
    <row r="644" spans="1:2" x14ac:dyDescent="0.3">
      <c r="A644" t="s">
        <v>5109</v>
      </c>
      <c r="B644" t="s">
        <v>5302</v>
      </c>
    </row>
    <row r="645" spans="1:2" x14ac:dyDescent="0.3">
      <c r="A645" t="s">
        <v>5109</v>
      </c>
      <c r="B645" t="s">
        <v>5303</v>
      </c>
    </row>
    <row r="646" spans="1:2" x14ac:dyDescent="0.3">
      <c r="A646" t="s">
        <v>5109</v>
      </c>
      <c r="B646" t="s">
        <v>5304</v>
      </c>
    </row>
    <row r="647" spans="1:2" x14ac:dyDescent="0.3">
      <c r="A647" t="s">
        <v>5109</v>
      </c>
      <c r="B647" t="s">
        <v>5304</v>
      </c>
    </row>
    <row r="648" spans="1:2" x14ac:dyDescent="0.3">
      <c r="A648" t="s">
        <v>5109</v>
      </c>
      <c r="B648" t="s">
        <v>5304</v>
      </c>
    </row>
    <row r="649" spans="1:2" x14ac:dyDescent="0.3">
      <c r="A649" t="s">
        <v>5109</v>
      </c>
      <c r="B649" t="s">
        <v>5304</v>
      </c>
    </row>
    <row r="650" spans="1:2" x14ac:dyDescent="0.3">
      <c r="A650" t="s">
        <v>5109</v>
      </c>
      <c r="B650" t="s">
        <v>5304</v>
      </c>
    </row>
    <row r="651" spans="1:2" x14ac:dyDescent="0.3">
      <c r="A651" t="s">
        <v>5109</v>
      </c>
      <c r="B651" t="s">
        <v>5304</v>
      </c>
    </row>
    <row r="652" spans="1:2" x14ac:dyDescent="0.3">
      <c r="A652" t="s">
        <v>5109</v>
      </c>
      <c r="B652" t="s">
        <v>5304</v>
      </c>
    </row>
    <row r="653" spans="1:2" x14ac:dyDescent="0.3">
      <c r="A653" t="s">
        <v>5109</v>
      </c>
      <c r="B653" t="s">
        <v>3817</v>
      </c>
    </row>
    <row r="654" spans="1:2" x14ac:dyDescent="0.3">
      <c r="A654" t="s">
        <v>5109</v>
      </c>
      <c r="B654" t="s">
        <v>3817</v>
      </c>
    </row>
    <row r="655" spans="1:2" x14ac:dyDescent="0.3">
      <c r="A655" t="s">
        <v>5109</v>
      </c>
      <c r="B655" t="s">
        <v>5305</v>
      </c>
    </row>
    <row r="656" spans="1:2" x14ac:dyDescent="0.3">
      <c r="A656" t="s">
        <v>5109</v>
      </c>
      <c r="B656" t="s">
        <v>5305</v>
      </c>
    </row>
    <row r="657" spans="1:2" x14ac:dyDescent="0.3">
      <c r="A657" t="s">
        <v>5109</v>
      </c>
      <c r="B657" t="s">
        <v>4839</v>
      </c>
    </row>
    <row r="658" spans="1:2" x14ac:dyDescent="0.3">
      <c r="A658" t="s">
        <v>5109</v>
      </c>
      <c r="B658" t="s">
        <v>5306</v>
      </c>
    </row>
    <row r="659" spans="1:2" x14ac:dyDescent="0.3">
      <c r="A659" t="s">
        <v>5109</v>
      </c>
      <c r="B659" t="s">
        <v>5306</v>
      </c>
    </row>
    <row r="660" spans="1:2" x14ac:dyDescent="0.3">
      <c r="A660" t="s">
        <v>5109</v>
      </c>
      <c r="B660" t="s">
        <v>5306</v>
      </c>
    </row>
    <row r="661" spans="1:2" x14ac:dyDescent="0.3">
      <c r="A661" t="s">
        <v>5109</v>
      </c>
      <c r="B661" t="s">
        <v>4674</v>
      </c>
    </row>
    <row r="662" spans="1:2" x14ac:dyDescent="0.3">
      <c r="A662" t="s">
        <v>5109</v>
      </c>
      <c r="B662" t="s">
        <v>4674</v>
      </c>
    </row>
    <row r="663" spans="1:2" x14ac:dyDescent="0.3">
      <c r="A663" t="s">
        <v>5109</v>
      </c>
      <c r="B663" t="s">
        <v>5307</v>
      </c>
    </row>
    <row r="664" spans="1:2" x14ac:dyDescent="0.3">
      <c r="A664" t="s">
        <v>5109</v>
      </c>
      <c r="B664" t="s">
        <v>5307</v>
      </c>
    </row>
    <row r="665" spans="1:2" x14ac:dyDescent="0.3">
      <c r="A665" t="s">
        <v>5109</v>
      </c>
      <c r="B665" t="s">
        <v>5307</v>
      </c>
    </row>
    <row r="666" spans="1:2" x14ac:dyDescent="0.3">
      <c r="A666" t="s">
        <v>5109</v>
      </c>
      <c r="B666" t="s">
        <v>5308</v>
      </c>
    </row>
    <row r="667" spans="1:2" x14ac:dyDescent="0.3">
      <c r="A667" t="s">
        <v>5109</v>
      </c>
      <c r="B667" t="s">
        <v>5308</v>
      </c>
    </row>
    <row r="668" spans="1:2" x14ac:dyDescent="0.3">
      <c r="A668" t="s">
        <v>5109</v>
      </c>
      <c r="B668" t="s">
        <v>5308</v>
      </c>
    </row>
    <row r="669" spans="1:2" x14ac:dyDescent="0.3">
      <c r="A669" t="s">
        <v>5109</v>
      </c>
      <c r="B669" t="s">
        <v>5309</v>
      </c>
    </row>
    <row r="670" spans="1:2" x14ac:dyDescent="0.3">
      <c r="A670" t="s">
        <v>5109</v>
      </c>
      <c r="B670" t="s">
        <v>5309</v>
      </c>
    </row>
    <row r="671" spans="1:2" x14ac:dyDescent="0.3">
      <c r="A671" t="s">
        <v>5109</v>
      </c>
      <c r="B671" t="s">
        <v>5310</v>
      </c>
    </row>
    <row r="672" spans="1:2" x14ac:dyDescent="0.3">
      <c r="A672" t="s">
        <v>5109</v>
      </c>
      <c r="B672" t="s">
        <v>5310</v>
      </c>
    </row>
    <row r="673" spans="1:2" x14ac:dyDescent="0.3">
      <c r="A673" t="s">
        <v>5109</v>
      </c>
      <c r="B673" t="s">
        <v>5311</v>
      </c>
    </row>
    <row r="674" spans="1:2" x14ac:dyDescent="0.3">
      <c r="A674" t="s">
        <v>5109</v>
      </c>
      <c r="B674" t="s">
        <v>5311</v>
      </c>
    </row>
    <row r="675" spans="1:2" x14ac:dyDescent="0.3">
      <c r="A675" t="s">
        <v>5109</v>
      </c>
      <c r="B675" t="s">
        <v>5312</v>
      </c>
    </row>
    <row r="676" spans="1:2" x14ac:dyDescent="0.3">
      <c r="A676" t="s">
        <v>5109</v>
      </c>
      <c r="B676" t="s">
        <v>5312</v>
      </c>
    </row>
    <row r="677" spans="1:2" x14ac:dyDescent="0.3">
      <c r="A677" t="s">
        <v>5109</v>
      </c>
      <c r="B677" t="s">
        <v>5312</v>
      </c>
    </row>
    <row r="678" spans="1:2" x14ac:dyDescent="0.3">
      <c r="A678" t="s">
        <v>5109</v>
      </c>
      <c r="B678" t="s">
        <v>5312</v>
      </c>
    </row>
    <row r="679" spans="1:2" x14ac:dyDescent="0.3">
      <c r="A679" t="s">
        <v>5109</v>
      </c>
      <c r="B679" t="s">
        <v>5312</v>
      </c>
    </row>
    <row r="680" spans="1:2" x14ac:dyDescent="0.3">
      <c r="A680" t="s">
        <v>5109</v>
      </c>
      <c r="B680" t="s">
        <v>5312</v>
      </c>
    </row>
    <row r="681" spans="1:2" x14ac:dyDescent="0.3">
      <c r="A681" t="s">
        <v>5109</v>
      </c>
      <c r="B681" t="s">
        <v>5313</v>
      </c>
    </row>
    <row r="682" spans="1:2" x14ac:dyDescent="0.3">
      <c r="A682" t="s">
        <v>5109</v>
      </c>
      <c r="B682" t="s">
        <v>5313</v>
      </c>
    </row>
    <row r="683" spans="1:2" x14ac:dyDescent="0.3">
      <c r="A683" t="s">
        <v>5109</v>
      </c>
      <c r="B683" t="s">
        <v>5313</v>
      </c>
    </row>
    <row r="684" spans="1:2" x14ac:dyDescent="0.3">
      <c r="A684" t="s">
        <v>5109</v>
      </c>
      <c r="B684" t="s">
        <v>1356</v>
      </c>
    </row>
    <row r="685" spans="1:2" x14ac:dyDescent="0.3">
      <c r="A685" t="s">
        <v>5109</v>
      </c>
      <c r="B685" t="s">
        <v>1356</v>
      </c>
    </row>
    <row r="686" spans="1:2" x14ac:dyDescent="0.3">
      <c r="A686" t="s">
        <v>5109</v>
      </c>
      <c r="B686" t="s">
        <v>5314</v>
      </c>
    </row>
    <row r="687" spans="1:2" x14ac:dyDescent="0.3">
      <c r="A687" t="s">
        <v>5109</v>
      </c>
      <c r="B687" t="s">
        <v>5314</v>
      </c>
    </row>
    <row r="688" spans="1:2" x14ac:dyDescent="0.3">
      <c r="A688" t="s">
        <v>5109</v>
      </c>
      <c r="B688" t="s">
        <v>5314</v>
      </c>
    </row>
    <row r="689" spans="1:2" x14ac:dyDescent="0.3">
      <c r="A689" t="s">
        <v>5109</v>
      </c>
      <c r="B689" t="s">
        <v>5314</v>
      </c>
    </row>
    <row r="690" spans="1:2" x14ac:dyDescent="0.3">
      <c r="A690" t="s">
        <v>5109</v>
      </c>
      <c r="B690" t="s">
        <v>5314</v>
      </c>
    </row>
    <row r="691" spans="1:2" x14ac:dyDescent="0.3">
      <c r="A691" t="s">
        <v>5109</v>
      </c>
      <c r="B691" t="s">
        <v>5315</v>
      </c>
    </row>
    <row r="692" spans="1:2" x14ac:dyDescent="0.3">
      <c r="A692" t="s">
        <v>5109</v>
      </c>
      <c r="B692" t="s">
        <v>5315</v>
      </c>
    </row>
    <row r="693" spans="1:2" x14ac:dyDescent="0.3">
      <c r="A693" t="s">
        <v>5109</v>
      </c>
      <c r="B693" t="s">
        <v>5315</v>
      </c>
    </row>
    <row r="694" spans="1:2" x14ac:dyDescent="0.3">
      <c r="A694" t="s">
        <v>5109</v>
      </c>
      <c r="B694" t="s">
        <v>5315</v>
      </c>
    </row>
    <row r="695" spans="1:2" x14ac:dyDescent="0.3">
      <c r="A695" t="s">
        <v>5109</v>
      </c>
      <c r="B695" t="s">
        <v>5315</v>
      </c>
    </row>
    <row r="696" spans="1:2" x14ac:dyDescent="0.3">
      <c r="A696" t="s">
        <v>5109</v>
      </c>
      <c r="B696" t="s">
        <v>5316</v>
      </c>
    </row>
    <row r="697" spans="1:2" x14ac:dyDescent="0.3">
      <c r="A697" t="s">
        <v>5109</v>
      </c>
      <c r="B697" t="s">
        <v>5316</v>
      </c>
    </row>
    <row r="698" spans="1:2" x14ac:dyDescent="0.3">
      <c r="A698" t="s">
        <v>5109</v>
      </c>
      <c r="B698" t="s">
        <v>2568</v>
      </c>
    </row>
    <row r="699" spans="1:2" x14ac:dyDescent="0.3">
      <c r="A699" t="s">
        <v>5109</v>
      </c>
      <c r="B699" t="s">
        <v>2568</v>
      </c>
    </row>
    <row r="700" spans="1:2" x14ac:dyDescent="0.3">
      <c r="A700" t="s">
        <v>5109</v>
      </c>
      <c r="B700" t="s">
        <v>5317</v>
      </c>
    </row>
    <row r="701" spans="1:2" x14ac:dyDescent="0.3">
      <c r="A701" t="s">
        <v>5109</v>
      </c>
      <c r="B701" t="s">
        <v>5317</v>
      </c>
    </row>
    <row r="702" spans="1:2" x14ac:dyDescent="0.3">
      <c r="A702" t="s">
        <v>5109</v>
      </c>
      <c r="B702" t="s">
        <v>5317</v>
      </c>
    </row>
    <row r="703" spans="1:2" x14ac:dyDescent="0.3">
      <c r="A703" t="s">
        <v>5109</v>
      </c>
      <c r="B703" t="s">
        <v>5317</v>
      </c>
    </row>
    <row r="704" spans="1:2" x14ac:dyDescent="0.3">
      <c r="A704" t="s">
        <v>5109</v>
      </c>
      <c r="B704" t="s">
        <v>5318</v>
      </c>
    </row>
    <row r="705" spans="1:2" x14ac:dyDescent="0.3">
      <c r="A705" t="s">
        <v>5109</v>
      </c>
      <c r="B705" t="s">
        <v>5318</v>
      </c>
    </row>
    <row r="706" spans="1:2" x14ac:dyDescent="0.3">
      <c r="A706" t="s">
        <v>5109</v>
      </c>
      <c r="B706" t="s">
        <v>5319</v>
      </c>
    </row>
    <row r="707" spans="1:2" x14ac:dyDescent="0.3">
      <c r="A707" t="s">
        <v>5109</v>
      </c>
      <c r="B707" t="s">
        <v>5319</v>
      </c>
    </row>
    <row r="708" spans="1:2" x14ac:dyDescent="0.3">
      <c r="A708" t="s">
        <v>5109</v>
      </c>
      <c r="B708" t="s">
        <v>5320</v>
      </c>
    </row>
    <row r="709" spans="1:2" x14ac:dyDescent="0.3">
      <c r="A709" t="s">
        <v>5109</v>
      </c>
      <c r="B709" t="s">
        <v>5320</v>
      </c>
    </row>
    <row r="710" spans="1:2" x14ac:dyDescent="0.3">
      <c r="A710" t="s">
        <v>5109</v>
      </c>
      <c r="B710" t="s">
        <v>5320</v>
      </c>
    </row>
    <row r="711" spans="1:2" x14ac:dyDescent="0.3">
      <c r="A711" t="s">
        <v>5109</v>
      </c>
      <c r="B711" t="s">
        <v>5321</v>
      </c>
    </row>
    <row r="712" spans="1:2" x14ac:dyDescent="0.3">
      <c r="A712" t="s">
        <v>5109</v>
      </c>
      <c r="B712" t="s">
        <v>5321</v>
      </c>
    </row>
    <row r="713" spans="1:2" x14ac:dyDescent="0.3">
      <c r="A713" t="s">
        <v>5109</v>
      </c>
      <c r="B713" t="s">
        <v>5321</v>
      </c>
    </row>
    <row r="714" spans="1:2" x14ac:dyDescent="0.3">
      <c r="A714" t="s">
        <v>5109</v>
      </c>
      <c r="B714" t="s">
        <v>5321</v>
      </c>
    </row>
    <row r="715" spans="1:2" x14ac:dyDescent="0.3">
      <c r="A715" t="s">
        <v>5109</v>
      </c>
      <c r="B715" t="s">
        <v>5321</v>
      </c>
    </row>
    <row r="716" spans="1:2" x14ac:dyDescent="0.3">
      <c r="A716" t="s">
        <v>5109</v>
      </c>
      <c r="B716" t="s">
        <v>1502</v>
      </c>
    </row>
    <row r="717" spans="1:2" x14ac:dyDescent="0.3">
      <c r="A717" t="s">
        <v>5109</v>
      </c>
      <c r="B717" t="s">
        <v>1502</v>
      </c>
    </row>
    <row r="718" spans="1:2" x14ac:dyDescent="0.3">
      <c r="A718" t="s">
        <v>5109</v>
      </c>
      <c r="B718" t="s">
        <v>1502</v>
      </c>
    </row>
    <row r="719" spans="1:2" x14ac:dyDescent="0.3">
      <c r="A719" t="s">
        <v>5109</v>
      </c>
      <c r="B719" t="s">
        <v>1502</v>
      </c>
    </row>
    <row r="720" spans="1:2" x14ac:dyDescent="0.3">
      <c r="A720" t="s">
        <v>5109</v>
      </c>
      <c r="B720" t="s">
        <v>1502</v>
      </c>
    </row>
    <row r="721" spans="1:2" x14ac:dyDescent="0.3">
      <c r="A721" t="s">
        <v>5109</v>
      </c>
      <c r="B721" t="s">
        <v>5322</v>
      </c>
    </row>
    <row r="722" spans="1:2" x14ac:dyDescent="0.3">
      <c r="A722" t="s">
        <v>5109</v>
      </c>
      <c r="B722" t="s">
        <v>5322</v>
      </c>
    </row>
    <row r="723" spans="1:2" x14ac:dyDescent="0.3">
      <c r="A723" t="s">
        <v>5109</v>
      </c>
      <c r="B723" t="s">
        <v>5322</v>
      </c>
    </row>
    <row r="724" spans="1:2" x14ac:dyDescent="0.3">
      <c r="A724" t="s">
        <v>5109</v>
      </c>
      <c r="B724" t="s">
        <v>5323</v>
      </c>
    </row>
    <row r="725" spans="1:2" x14ac:dyDescent="0.3">
      <c r="A725" t="s">
        <v>5109</v>
      </c>
      <c r="B725" t="s">
        <v>5323</v>
      </c>
    </row>
    <row r="726" spans="1:2" x14ac:dyDescent="0.3">
      <c r="A726" t="s">
        <v>5109</v>
      </c>
      <c r="B726" t="s">
        <v>5324</v>
      </c>
    </row>
    <row r="727" spans="1:2" x14ac:dyDescent="0.3">
      <c r="A727" t="s">
        <v>5109</v>
      </c>
      <c r="B727" t="s">
        <v>5325</v>
      </c>
    </row>
    <row r="728" spans="1:2" x14ac:dyDescent="0.3">
      <c r="A728" t="s">
        <v>5109</v>
      </c>
      <c r="B728" t="s">
        <v>5326</v>
      </c>
    </row>
    <row r="729" spans="1:2" x14ac:dyDescent="0.3">
      <c r="A729" t="s">
        <v>5109</v>
      </c>
      <c r="B729" t="s">
        <v>5327</v>
      </c>
    </row>
    <row r="730" spans="1:2" x14ac:dyDescent="0.3">
      <c r="A730" t="s">
        <v>5109</v>
      </c>
      <c r="B730" t="s">
        <v>5327</v>
      </c>
    </row>
    <row r="731" spans="1:2" x14ac:dyDescent="0.3">
      <c r="A731" t="s">
        <v>5109</v>
      </c>
      <c r="B731" t="s">
        <v>5327</v>
      </c>
    </row>
    <row r="732" spans="1:2" x14ac:dyDescent="0.3">
      <c r="A732" t="s">
        <v>5109</v>
      </c>
      <c r="B732" t="s">
        <v>5328</v>
      </c>
    </row>
    <row r="733" spans="1:2" x14ac:dyDescent="0.3">
      <c r="A733" t="s">
        <v>5109</v>
      </c>
      <c r="B733" t="s">
        <v>5328</v>
      </c>
    </row>
    <row r="734" spans="1:2" x14ac:dyDescent="0.3">
      <c r="A734" t="s">
        <v>5109</v>
      </c>
      <c r="B734" t="s">
        <v>5329</v>
      </c>
    </row>
    <row r="735" spans="1:2" x14ac:dyDescent="0.3">
      <c r="A735" t="s">
        <v>5109</v>
      </c>
      <c r="B735" t="s">
        <v>5329</v>
      </c>
    </row>
    <row r="736" spans="1:2" x14ac:dyDescent="0.3">
      <c r="A736" t="s">
        <v>5109</v>
      </c>
      <c r="B736" t="s">
        <v>1818</v>
      </c>
    </row>
    <row r="737" spans="1:2" x14ac:dyDescent="0.3">
      <c r="A737" t="s">
        <v>5109</v>
      </c>
      <c r="B737" t="s">
        <v>1818</v>
      </c>
    </row>
    <row r="738" spans="1:2" x14ac:dyDescent="0.3">
      <c r="A738" t="s">
        <v>5109</v>
      </c>
      <c r="B738" t="s">
        <v>1818</v>
      </c>
    </row>
    <row r="739" spans="1:2" x14ac:dyDescent="0.3">
      <c r="A739" t="s">
        <v>5109</v>
      </c>
      <c r="B739" t="s">
        <v>5330</v>
      </c>
    </row>
    <row r="740" spans="1:2" x14ac:dyDescent="0.3">
      <c r="A740" t="s">
        <v>5109</v>
      </c>
      <c r="B740" t="s">
        <v>5330</v>
      </c>
    </row>
    <row r="741" spans="1:2" x14ac:dyDescent="0.3">
      <c r="A741" t="s">
        <v>5109</v>
      </c>
      <c r="B741" t="s">
        <v>5331</v>
      </c>
    </row>
    <row r="742" spans="1:2" x14ac:dyDescent="0.3">
      <c r="A742" t="s">
        <v>5109</v>
      </c>
      <c r="B742" t="s">
        <v>5331</v>
      </c>
    </row>
    <row r="743" spans="1:2" x14ac:dyDescent="0.3">
      <c r="A743" t="s">
        <v>5109</v>
      </c>
      <c r="B743" t="s">
        <v>5331</v>
      </c>
    </row>
    <row r="744" spans="1:2" x14ac:dyDescent="0.3">
      <c r="A744" t="s">
        <v>5109</v>
      </c>
      <c r="B744" t="s">
        <v>5331</v>
      </c>
    </row>
    <row r="745" spans="1:2" x14ac:dyDescent="0.3">
      <c r="A745" t="s">
        <v>5109</v>
      </c>
      <c r="B745" t="s">
        <v>5331</v>
      </c>
    </row>
    <row r="746" spans="1:2" x14ac:dyDescent="0.3">
      <c r="A746" t="s">
        <v>5109</v>
      </c>
      <c r="B746" t="s">
        <v>5332</v>
      </c>
    </row>
    <row r="747" spans="1:2" x14ac:dyDescent="0.3">
      <c r="A747" t="s">
        <v>5109</v>
      </c>
      <c r="B747" t="s">
        <v>5333</v>
      </c>
    </row>
    <row r="748" spans="1:2" x14ac:dyDescent="0.3">
      <c r="A748" t="s">
        <v>5109</v>
      </c>
      <c r="B748" t="s">
        <v>5333</v>
      </c>
    </row>
    <row r="749" spans="1:2" x14ac:dyDescent="0.3">
      <c r="A749" t="s">
        <v>5109</v>
      </c>
      <c r="B749" t="s">
        <v>5334</v>
      </c>
    </row>
    <row r="750" spans="1:2" x14ac:dyDescent="0.3">
      <c r="A750" t="s">
        <v>5109</v>
      </c>
      <c r="B750" t="s">
        <v>5334</v>
      </c>
    </row>
    <row r="751" spans="1:2" x14ac:dyDescent="0.3">
      <c r="A751" t="s">
        <v>5109</v>
      </c>
      <c r="B751" t="s">
        <v>5334</v>
      </c>
    </row>
    <row r="752" spans="1:2" x14ac:dyDescent="0.3">
      <c r="A752" t="s">
        <v>5109</v>
      </c>
      <c r="B752" t="s">
        <v>1720</v>
      </c>
    </row>
    <row r="753" spans="1:2" x14ac:dyDescent="0.3">
      <c r="A753" t="s">
        <v>5109</v>
      </c>
      <c r="B753" t="s">
        <v>1720</v>
      </c>
    </row>
    <row r="754" spans="1:2" x14ac:dyDescent="0.3">
      <c r="A754" t="s">
        <v>5109</v>
      </c>
      <c r="B754" t="s">
        <v>1720</v>
      </c>
    </row>
    <row r="755" spans="1:2" x14ac:dyDescent="0.3">
      <c r="A755" t="s">
        <v>5109</v>
      </c>
      <c r="B755" t="s">
        <v>1720</v>
      </c>
    </row>
    <row r="756" spans="1:2" x14ac:dyDescent="0.3">
      <c r="A756" t="s">
        <v>5109</v>
      </c>
      <c r="B756" t="s">
        <v>5335</v>
      </c>
    </row>
    <row r="757" spans="1:2" x14ac:dyDescent="0.3">
      <c r="A757" t="s">
        <v>5109</v>
      </c>
      <c r="B757" t="s">
        <v>5335</v>
      </c>
    </row>
    <row r="758" spans="1:2" x14ac:dyDescent="0.3">
      <c r="A758" t="s">
        <v>5109</v>
      </c>
      <c r="B758" t="s">
        <v>5335</v>
      </c>
    </row>
    <row r="759" spans="1:2" x14ac:dyDescent="0.3">
      <c r="A759" t="s">
        <v>5109</v>
      </c>
      <c r="B759" t="s">
        <v>5335</v>
      </c>
    </row>
    <row r="760" spans="1:2" x14ac:dyDescent="0.3">
      <c r="A760" t="s">
        <v>5109</v>
      </c>
      <c r="B760" t="s">
        <v>5336</v>
      </c>
    </row>
    <row r="761" spans="1:2" x14ac:dyDescent="0.3">
      <c r="A761" t="s">
        <v>5109</v>
      </c>
      <c r="B761" t="s">
        <v>5336</v>
      </c>
    </row>
    <row r="762" spans="1:2" x14ac:dyDescent="0.3">
      <c r="A762" t="s">
        <v>5109</v>
      </c>
      <c r="B762" t="s">
        <v>5337</v>
      </c>
    </row>
    <row r="763" spans="1:2" x14ac:dyDescent="0.3">
      <c r="A763" t="s">
        <v>5109</v>
      </c>
      <c r="B763" t="s">
        <v>5337</v>
      </c>
    </row>
    <row r="764" spans="1:2" x14ac:dyDescent="0.3">
      <c r="A764" t="s">
        <v>5109</v>
      </c>
      <c r="B764" t="s">
        <v>5337</v>
      </c>
    </row>
    <row r="765" spans="1:2" x14ac:dyDescent="0.3">
      <c r="A765" t="s">
        <v>5109</v>
      </c>
      <c r="B765" t="s">
        <v>5337</v>
      </c>
    </row>
    <row r="766" spans="1:2" x14ac:dyDescent="0.3">
      <c r="A766" t="s">
        <v>5109</v>
      </c>
      <c r="B766" t="s">
        <v>5338</v>
      </c>
    </row>
    <row r="767" spans="1:2" x14ac:dyDescent="0.3">
      <c r="A767" t="s">
        <v>5109</v>
      </c>
      <c r="B767" t="s">
        <v>5338</v>
      </c>
    </row>
    <row r="768" spans="1:2" x14ac:dyDescent="0.3">
      <c r="A768" t="s">
        <v>5109</v>
      </c>
      <c r="B768" t="s">
        <v>5338</v>
      </c>
    </row>
    <row r="769" spans="1:2" x14ac:dyDescent="0.3">
      <c r="A769" t="s">
        <v>5109</v>
      </c>
      <c r="B769" t="s">
        <v>5339</v>
      </c>
    </row>
    <row r="770" spans="1:2" x14ac:dyDescent="0.3">
      <c r="A770" t="s">
        <v>5109</v>
      </c>
      <c r="B770" t="s">
        <v>5339</v>
      </c>
    </row>
    <row r="771" spans="1:2" x14ac:dyDescent="0.3">
      <c r="A771" t="s">
        <v>5109</v>
      </c>
      <c r="B771" t="s">
        <v>5339</v>
      </c>
    </row>
    <row r="772" spans="1:2" x14ac:dyDescent="0.3">
      <c r="A772" t="s">
        <v>5109</v>
      </c>
      <c r="B772" t="s">
        <v>5339</v>
      </c>
    </row>
    <row r="773" spans="1:2" x14ac:dyDescent="0.3">
      <c r="A773" t="s">
        <v>5109</v>
      </c>
      <c r="B773" t="s">
        <v>4583</v>
      </c>
    </row>
    <row r="774" spans="1:2" x14ac:dyDescent="0.3">
      <c r="A774" t="s">
        <v>5109</v>
      </c>
      <c r="B774" t="s">
        <v>4583</v>
      </c>
    </row>
    <row r="775" spans="1:2" x14ac:dyDescent="0.3">
      <c r="A775" t="s">
        <v>5109</v>
      </c>
      <c r="B775" t="s">
        <v>4583</v>
      </c>
    </row>
    <row r="776" spans="1:2" x14ac:dyDescent="0.3">
      <c r="A776" t="s">
        <v>5109</v>
      </c>
      <c r="B776" t="s">
        <v>4583</v>
      </c>
    </row>
    <row r="777" spans="1:2" x14ac:dyDescent="0.3">
      <c r="A777" t="s">
        <v>5109</v>
      </c>
      <c r="B777" t="s">
        <v>4583</v>
      </c>
    </row>
    <row r="778" spans="1:2" x14ac:dyDescent="0.3">
      <c r="A778" t="s">
        <v>5109</v>
      </c>
      <c r="B778" t="s">
        <v>4583</v>
      </c>
    </row>
    <row r="779" spans="1:2" x14ac:dyDescent="0.3">
      <c r="A779" t="s">
        <v>5109</v>
      </c>
      <c r="B779" t="s">
        <v>4583</v>
      </c>
    </row>
    <row r="780" spans="1:2" x14ac:dyDescent="0.3">
      <c r="A780" t="s">
        <v>5109</v>
      </c>
      <c r="B780" t="s">
        <v>2829</v>
      </c>
    </row>
    <row r="781" spans="1:2" x14ac:dyDescent="0.3">
      <c r="A781" t="s">
        <v>5109</v>
      </c>
      <c r="B781" t="s">
        <v>2829</v>
      </c>
    </row>
    <row r="782" spans="1:2" x14ac:dyDescent="0.3">
      <c r="A782" t="s">
        <v>5109</v>
      </c>
      <c r="B782" t="s">
        <v>2829</v>
      </c>
    </row>
    <row r="783" spans="1:2" x14ac:dyDescent="0.3">
      <c r="A783" t="s">
        <v>5109</v>
      </c>
      <c r="B783" t="s">
        <v>2829</v>
      </c>
    </row>
    <row r="784" spans="1:2" x14ac:dyDescent="0.3">
      <c r="A784" t="s">
        <v>5109</v>
      </c>
      <c r="B784" t="s">
        <v>2829</v>
      </c>
    </row>
    <row r="785" spans="1:2" x14ac:dyDescent="0.3">
      <c r="A785" t="s">
        <v>5109</v>
      </c>
      <c r="B785" t="s">
        <v>2829</v>
      </c>
    </row>
    <row r="786" spans="1:2" x14ac:dyDescent="0.3">
      <c r="A786" t="s">
        <v>5109</v>
      </c>
      <c r="B786" t="s">
        <v>2829</v>
      </c>
    </row>
    <row r="787" spans="1:2" x14ac:dyDescent="0.3">
      <c r="A787" t="s">
        <v>5109</v>
      </c>
      <c r="B787" t="s">
        <v>2829</v>
      </c>
    </row>
    <row r="788" spans="1:2" x14ac:dyDescent="0.3">
      <c r="A788" t="s">
        <v>5109</v>
      </c>
      <c r="B788" t="s">
        <v>5340</v>
      </c>
    </row>
    <row r="789" spans="1:2" x14ac:dyDescent="0.3">
      <c r="A789" t="s">
        <v>5109</v>
      </c>
      <c r="B789" t="s">
        <v>5341</v>
      </c>
    </row>
    <row r="790" spans="1:2" x14ac:dyDescent="0.3">
      <c r="A790" t="s">
        <v>5109</v>
      </c>
      <c r="B790" t="s">
        <v>5341</v>
      </c>
    </row>
    <row r="791" spans="1:2" x14ac:dyDescent="0.3">
      <c r="A791" t="s">
        <v>5109</v>
      </c>
      <c r="B791" t="s">
        <v>5342</v>
      </c>
    </row>
    <row r="792" spans="1:2" x14ac:dyDescent="0.3">
      <c r="A792" t="s">
        <v>5109</v>
      </c>
      <c r="B792" t="s">
        <v>5342</v>
      </c>
    </row>
    <row r="793" spans="1:2" x14ac:dyDescent="0.3">
      <c r="A793" t="s">
        <v>5109</v>
      </c>
      <c r="B793" t="s">
        <v>5342</v>
      </c>
    </row>
    <row r="794" spans="1:2" x14ac:dyDescent="0.3">
      <c r="A794" t="s">
        <v>5109</v>
      </c>
      <c r="B794" t="s">
        <v>5342</v>
      </c>
    </row>
    <row r="795" spans="1:2" x14ac:dyDescent="0.3">
      <c r="A795" t="s">
        <v>5109</v>
      </c>
      <c r="B795" t="s">
        <v>5342</v>
      </c>
    </row>
    <row r="796" spans="1:2" x14ac:dyDescent="0.3">
      <c r="A796" t="s">
        <v>5109</v>
      </c>
      <c r="B796" t="s">
        <v>5342</v>
      </c>
    </row>
    <row r="797" spans="1:2" x14ac:dyDescent="0.3">
      <c r="A797" t="s">
        <v>5109</v>
      </c>
      <c r="B797" t="s">
        <v>5342</v>
      </c>
    </row>
    <row r="798" spans="1:2" x14ac:dyDescent="0.3">
      <c r="A798" t="s">
        <v>5109</v>
      </c>
      <c r="B798" t="s">
        <v>5343</v>
      </c>
    </row>
    <row r="799" spans="1:2" x14ac:dyDescent="0.3">
      <c r="A799" t="s">
        <v>5109</v>
      </c>
      <c r="B799" t="s">
        <v>5344</v>
      </c>
    </row>
    <row r="800" spans="1:2" x14ac:dyDescent="0.3">
      <c r="A800" t="s">
        <v>5109</v>
      </c>
      <c r="B800" t="s">
        <v>5345</v>
      </c>
    </row>
    <row r="801" spans="1:2" x14ac:dyDescent="0.3">
      <c r="A801" t="s">
        <v>5109</v>
      </c>
      <c r="B801" t="s">
        <v>5345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D2E65-BC5C-4BB2-B4FD-39D6F5EE2352}">
  <dimension ref="A1:B5"/>
  <sheetViews>
    <sheetView workbookViewId="0">
      <selection activeCell="B3" sqref="B3"/>
    </sheetView>
  </sheetViews>
  <sheetFormatPr defaultRowHeight="14.4" x14ac:dyDescent="0.3"/>
  <cols>
    <col min="1" max="1" width="17.33203125" bestFit="1" customWidth="1"/>
    <col min="2" max="2" width="8.77734375" bestFit="1" customWidth="1"/>
  </cols>
  <sheetData>
    <row r="1" spans="1:2" x14ac:dyDescent="0.3">
      <c r="A1" t="s">
        <v>5107</v>
      </c>
      <c r="B1" t="s">
        <v>12</v>
      </c>
    </row>
    <row r="2" spans="1:2" x14ac:dyDescent="0.3">
      <c r="A2" t="s">
        <v>4756</v>
      </c>
      <c r="B2" t="s">
        <v>47</v>
      </c>
    </row>
    <row r="3" spans="1:2" x14ac:dyDescent="0.3">
      <c r="A3" t="s">
        <v>2301</v>
      </c>
      <c r="B3" t="s">
        <v>147</v>
      </c>
    </row>
    <row r="4" spans="1:2" x14ac:dyDescent="0.3">
      <c r="A4" t="s">
        <v>4052</v>
      </c>
      <c r="B4" t="s">
        <v>99</v>
      </c>
    </row>
    <row r="5" spans="1:2" x14ac:dyDescent="0.3">
      <c r="A5" t="s">
        <v>741</v>
      </c>
      <c r="B5"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4B537-4D43-4071-8922-897FCCF6AC3C}">
  <dimension ref="A1:X794"/>
  <sheetViews>
    <sheetView topLeftCell="J1" workbookViewId="0">
      <selection activeCell="E26" sqref="E26"/>
    </sheetView>
  </sheetViews>
  <sheetFormatPr defaultRowHeight="14.4" x14ac:dyDescent="0.3"/>
  <cols>
    <col min="1" max="1" width="8.77734375" bestFit="1" customWidth="1"/>
    <col min="2" max="2" width="14.77734375" bestFit="1" customWidth="1"/>
    <col min="3" max="3" width="12.21875"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5.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 min="22" max="22" width="11" bestFit="1" customWidth="1"/>
    <col min="23" max="23" width="11.109375" bestFit="1" customWidth="1"/>
    <col min="24" max="24" width="13.8867187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t="s">
        <v>25</v>
      </c>
      <c r="C2" s="1">
        <v>43412</v>
      </c>
      <c r="D2" s="1">
        <v>43415</v>
      </c>
      <c r="E2" t="s">
        <v>26</v>
      </c>
      <c r="F2" t="s">
        <v>27</v>
      </c>
      <c r="G2" t="s">
        <v>28</v>
      </c>
      <c r="H2" t="s">
        <v>29</v>
      </c>
      <c r="I2" t="s">
        <v>30</v>
      </c>
      <c r="J2" t="s">
        <v>31</v>
      </c>
      <c r="K2" t="s">
        <v>32</v>
      </c>
      <c r="L2" t="s">
        <v>33</v>
      </c>
      <c r="M2" t="s">
        <v>34</v>
      </c>
      <c r="N2" t="s">
        <v>35</v>
      </c>
      <c r="O2" t="s">
        <v>36</v>
      </c>
      <c r="P2" t="s">
        <v>37</v>
      </c>
      <c r="Q2" t="s">
        <v>38</v>
      </c>
      <c r="R2">
        <v>261.95999999999998</v>
      </c>
      <c r="S2">
        <v>2</v>
      </c>
      <c r="T2">
        <v>0</v>
      </c>
      <c r="U2">
        <v>41.913600000000002</v>
      </c>
      <c r="V2">
        <v>220.04639999999998</v>
      </c>
      <c r="W2">
        <v>261.95999999999998</v>
      </c>
      <c r="X2">
        <v>9.0889921398395988E-3</v>
      </c>
    </row>
    <row r="3" spans="1:24" x14ac:dyDescent="0.3">
      <c r="A3" t="s">
        <v>39</v>
      </c>
      <c r="B3" t="s">
        <v>40</v>
      </c>
      <c r="C3" s="1">
        <v>43263</v>
      </c>
      <c r="D3" s="1">
        <v>43267</v>
      </c>
      <c r="E3" t="s">
        <v>26</v>
      </c>
      <c r="F3" t="s">
        <v>41</v>
      </c>
      <c r="G3" t="s">
        <v>42</v>
      </c>
      <c r="H3" t="s">
        <v>43</v>
      </c>
      <c r="I3" t="s">
        <v>30</v>
      </c>
      <c r="J3" t="s">
        <v>44</v>
      </c>
      <c r="K3" t="s">
        <v>45</v>
      </c>
      <c r="L3" t="s">
        <v>46</v>
      </c>
      <c r="M3" t="s">
        <v>47</v>
      </c>
      <c r="N3" t="s">
        <v>48</v>
      </c>
      <c r="O3" t="s">
        <v>49</v>
      </c>
      <c r="P3" t="s">
        <v>50</v>
      </c>
      <c r="Q3" t="s">
        <v>51</v>
      </c>
      <c r="R3">
        <v>14.62</v>
      </c>
      <c r="S3">
        <v>2</v>
      </c>
      <c r="T3">
        <v>0</v>
      </c>
      <c r="U3">
        <v>6.8714000000000004</v>
      </c>
      <c r="V3">
        <v>7.7485999999999988</v>
      </c>
      <c r="W3">
        <v>14.62</v>
      </c>
      <c r="X3">
        <v>0.25811114265802859</v>
      </c>
    </row>
    <row r="4" spans="1:24" x14ac:dyDescent="0.3">
      <c r="A4" t="s">
        <v>52</v>
      </c>
      <c r="B4" t="s">
        <v>53</v>
      </c>
      <c r="C4" s="1">
        <v>43019</v>
      </c>
      <c r="D4" s="1">
        <v>43026</v>
      </c>
      <c r="E4" t="s">
        <v>54</v>
      </c>
      <c r="F4" t="s">
        <v>55</v>
      </c>
      <c r="G4" t="s">
        <v>56</v>
      </c>
      <c r="H4" t="s">
        <v>29</v>
      </c>
      <c r="I4" t="s">
        <v>30</v>
      </c>
      <c r="J4" t="s">
        <v>57</v>
      </c>
      <c r="K4" t="s">
        <v>58</v>
      </c>
      <c r="L4" t="s">
        <v>59</v>
      </c>
      <c r="M4" t="s">
        <v>34</v>
      </c>
      <c r="N4" t="s">
        <v>60</v>
      </c>
      <c r="O4" t="s">
        <v>36</v>
      </c>
      <c r="P4" t="s">
        <v>61</v>
      </c>
      <c r="Q4" t="s">
        <v>62</v>
      </c>
      <c r="R4">
        <v>957.57749999999999</v>
      </c>
      <c r="S4">
        <v>5</v>
      </c>
      <c r="T4">
        <v>0.45</v>
      </c>
      <c r="U4">
        <v>-383.03100000000001</v>
      </c>
      <c r="V4">
        <v>1340.6085</v>
      </c>
      <c r="W4">
        <v>526.66762500000004</v>
      </c>
      <c r="X4">
        <v>3.7296496329838279E-3</v>
      </c>
    </row>
    <row r="5" spans="1:24" x14ac:dyDescent="0.3">
      <c r="A5" t="s">
        <v>63</v>
      </c>
      <c r="B5" t="s">
        <v>64</v>
      </c>
      <c r="C5" s="1">
        <v>42530</v>
      </c>
      <c r="D5" s="1">
        <v>42535</v>
      </c>
      <c r="E5" t="s">
        <v>54</v>
      </c>
      <c r="F5" t="s">
        <v>65</v>
      </c>
      <c r="G5" t="s">
        <v>66</v>
      </c>
      <c r="H5" t="s">
        <v>29</v>
      </c>
      <c r="I5" t="s">
        <v>30</v>
      </c>
      <c r="J5" t="s">
        <v>44</v>
      </c>
      <c r="K5" t="s">
        <v>45</v>
      </c>
      <c r="L5" t="s">
        <v>67</v>
      </c>
      <c r="M5" t="s">
        <v>47</v>
      </c>
      <c r="N5" t="s">
        <v>68</v>
      </c>
      <c r="O5" t="s">
        <v>36</v>
      </c>
      <c r="P5" t="s">
        <v>69</v>
      </c>
      <c r="Q5" t="s">
        <v>70</v>
      </c>
      <c r="R5">
        <v>48.86</v>
      </c>
      <c r="S5">
        <v>7</v>
      </c>
      <c r="T5">
        <v>0</v>
      </c>
      <c r="U5">
        <v>14.1694</v>
      </c>
      <c r="V5">
        <v>34.690600000000003</v>
      </c>
      <c r="W5">
        <v>48.86</v>
      </c>
      <c r="X5">
        <v>0.20178376851366073</v>
      </c>
    </row>
    <row r="6" spans="1:24" x14ac:dyDescent="0.3">
      <c r="A6" t="s">
        <v>71</v>
      </c>
      <c r="B6" t="s">
        <v>72</v>
      </c>
      <c r="C6" s="1">
        <v>43570</v>
      </c>
      <c r="D6" s="1">
        <v>43575</v>
      </c>
      <c r="E6" t="s">
        <v>54</v>
      </c>
      <c r="F6" t="s">
        <v>73</v>
      </c>
      <c r="G6" t="s">
        <v>74</v>
      </c>
      <c r="H6" t="s">
        <v>29</v>
      </c>
      <c r="I6" t="s">
        <v>30</v>
      </c>
      <c r="J6" t="s">
        <v>75</v>
      </c>
      <c r="K6" t="s">
        <v>76</v>
      </c>
      <c r="L6" t="s">
        <v>77</v>
      </c>
      <c r="M6" t="s">
        <v>34</v>
      </c>
      <c r="N6" t="s">
        <v>78</v>
      </c>
      <c r="O6" t="s">
        <v>49</v>
      </c>
      <c r="P6" t="s">
        <v>79</v>
      </c>
      <c r="Q6" t="s">
        <v>80</v>
      </c>
      <c r="R6">
        <v>15.552</v>
      </c>
      <c r="S6">
        <v>3</v>
      </c>
      <c r="T6">
        <v>0.2</v>
      </c>
      <c r="U6">
        <v>5.4432</v>
      </c>
      <c r="V6">
        <v>10.108799999999999</v>
      </c>
      <c r="W6">
        <v>12.441600000000001</v>
      </c>
      <c r="X6">
        <v>0.29677113010446349</v>
      </c>
    </row>
    <row r="7" spans="1:24" x14ac:dyDescent="0.3">
      <c r="A7" t="s">
        <v>81</v>
      </c>
      <c r="B7" t="s">
        <v>82</v>
      </c>
      <c r="C7" s="1">
        <v>43439</v>
      </c>
      <c r="D7" s="1">
        <v>43444</v>
      </c>
      <c r="E7" t="s">
        <v>54</v>
      </c>
      <c r="F7" t="s">
        <v>83</v>
      </c>
      <c r="G7" t="s">
        <v>84</v>
      </c>
      <c r="H7" t="s">
        <v>29</v>
      </c>
      <c r="I7" t="s">
        <v>30</v>
      </c>
      <c r="J7" t="s">
        <v>85</v>
      </c>
      <c r="K7" t="s">
        <v>86</v>
      </c>
      <c r="L7" t="s">
        <v>87</v>
      </c>
      <c r="M7" t="s">
        <v>47</v>
      </c>
      <c r="N7" t="s">
        <v>88</v>
      </c>
      <c r="O7" t="s">
        <v>49</v>
      </c>
      <c r="P7" t="s">
        <v>89</v>
      </c>
      <c r="Q7" t="s">
        <v>90</v>
      </c>
      <c r="R7">
        <v>407.976</v>
      </c>
      <c r="S7">
        <v>3</v>
      </c>
      <c r="T7">
        <v>0.2</v>
      </c>
      <c r="U7">
        <v>132.59219999999999</v>
      </c>
      <c r="V7">
        <v>275.38380000000001</v>
      </c>
      <c r="W7">
        <v>326.38080000000002</v>
      </c>
      <c r="X7">
        <v>1.0893887004246436E-2</v>
      </c>
    </row>
    <row r="8" spans="1:24" x14ac:dyDescent="0.3">
      <c r="A8" t="s">
        <v>91</v>
      </c>
      <c r="B8" t="s">
        <v>92</v>
      </c>
      <c r="C8" s="1">
        <v>43061</v>
      </c>
      <c r="D8" s="1">
        <v>43065</v>
      </c>
      <c r="E8" t="s">
        <v>54</v>
      </c>
      <c r="F8" t="s">
        <v>93</v>
      </c>
      <c r="G8" t="s">
        <v>94</v>
      </c>
      <c r="H8" t="s">
        <v>95</v>
      </c>
      <c r="I8" t="s">
        <v>30</v>
      </c>
      <c r="J8" t="s">
        <v>96</v>
      </c>
      <c r="K8" t="s">
        <v>97</v>
      </c>
      <c r="L8" t="s">
        <v>98</v>
      </c>
      <c r="M8" t="s">
        <v>99</v>
      </c>
      <c r="N8" t="s">
        <v>100</v>
      </c>
      <c r="O8" t="s">
        <v>49</v>
      </c>
      <c r="P8" t="s">
        <v>101</v>
      </c>
      <c r="Q8" t="s">
        <v>102</v>
      </c>
      <c r="R8">
        <v>68.81</v>
      </c>
      <c r="S8">
        <v>5</v>
      </c>
      <c r="T8">
        <v>0.8</v>
      </c>
      <c r="U8">
        <v>-123.858</v>
      </c>
      <c r="V8">
        <v>192.66800000000001</v>
      </c>
      <c r="W8">
        <v>13.761999999999997</v>
      </c>
      <c r="X8">
        <v>2.5951377499117651E-2</v>
      </c>
    </row>
    <row r="9" spans="1:24" x14ac:dyDescent="0.3">
      <c r="A9" t="s">
        <v>103</v>
      </c>
      <c r="B9" t="s">
        <v>104</v>
      </c>
      <c r="C9" s="1">
        <v>42685</v>
      </c>
      <c r="D9" s="1">
        <v>42692</v>
      </c>
      <c r="E9" t="s">
        <v>54</v>
      </c>
      <c r="F9" t="s">
        <v>105</v>
      </c>
      <c r="G9" t="s">
        <v>106</v>
      </c>
      <c r="H9" t="s">
        <v>29</v>
      </c>
      <c r="I9" t="s">
        <v>30</v>
      </c>
      <c r="J9" t="s">
        <v>107</v>
      </c>
      <c r="K9" t="s">
        <v>108</v>
      </c>
      <c r="L9" t="s">
        <v>109</v>
      </c>
      <c r="M9" t="s">
        <v>99</v>
      </c>
      <c r="N9" t="s">
        <v>110</v>
      </c>
      <c r="O9" t="s">
        <v>49</v>
      </c>
      <c r="P9" t="s">
        <v>111</v>
      </c>
      <c r="Q9" t="s">
        <v>112</v>
      </c>
      <c r="R9">
        <v>665.88</v>
      </c>
      <c r="S9">
        <v>6</v>
      </c>
      <c r="T9">
        <v>0</v>
      </c>
      <c r="U9">
        <v>13.317600000000001</v>
      </c>
      <c r="V9">
        <v>652.56240000000003</v>
      </c>
      <c r="W9">
        <v>665.88</v>
      </c>
      <c r="X9">
        <v>9.1945230065354662E-3</v>
      </c>
    </row>
    <row r="10" spans="1:24" x14ac:dyDescent="0.3">
      <c r="A10" t="s">
        <v>113</v>
      </c>
      <c r="B10" t="s">
        <v>114</v>
      </c>
      <c r="C10" s="1">
        <v>42503</v>
      </c>
      <c r="D10" s="1">
        <v>42505</v>
      </c>
      <c r="E10" t="s">
        <v>26</v>
      </c>
      <c r="F10" t="s">
        <v>115</v>
      </c>
      <c r="G10" t="s">
        <v>116</v>
      </c>
      <c r="H10" t="s">
        <v>29</v>
      </c>
      <c r="I10" t="s">
        <v>30</v>
      </c>
      <c r="J10" t="s">
        <v>117</v>
      </c>
      <c r="K10" t="s">
        <v>118</v>
      </c>
      <c r="L10" t="s">
        <v>119</v>
      </c>
      <c r="M10" t="s">
        <v>47</v>
      </c>
      <c r="N10" t="s">
        <v>120</v>
      </c>
      <c r="O10" t="s">
        <v>49</v>
      </c>
      <c r="P10" t="s">
        <v>111</v>
      </c>
      <c r="Q10" t="s">
        <v>121</v>
      </c>
      <c r="R10">
        <v>55.5</v>
      </c>
      <c r="S10">
        <v>2</v>
      </c>
      <c r="T10">
        <v>0</v>
      </c>
      <c r="U10">
        <v>9.99</v>
      </c>
      <c r="V10">
        <v>45.51</v>
      </c>
      <c r="W10">
        <v>55.5</v>
      </c>
      <c r="X10">
        <v>4.3946385409800046E-2</v>
      </c>
    </row>
    <row r="11" spans="1:24" x14ac:dyDescent="0.3">
      <c r="A11" t="s">
        <v>122</v>
      </c>
      <c r="B11" t="s">
        <v>123</v>
      </c>
      <c r="C11" s="1">
        <v>42609</v>
      </c>
      <c r="D11" s="1">
        <v>42614</v>
      </c>
      <c r="E11" t="s">
        <v>26</v>
      </c>
      <c r="F11" t="s">
        <v>124</v>
      </c>
      <c r="G11" t="s">
        <v>125</v>
      </c>
      <c r="H11" t="s">
        <v>29</v>
      </c>
      <c r="I11" t="s">
        <v>30</v>
      </c>
      <c r="J11" t="s">
        <v>126</v>
      </c>
      <c r="K11" t="s">
        <v>45</v>
      </c>
      <c r="L11" t="s">
        <v>127</v>
      </c>
      <c r="M11" t="s">
        <v>47</v>
      </c>
      <c r="N11" t="s">
        <v>128</v>
      </c>
      <c r="O11" t="s">
        <v>49</v>
      </c>
      <c r="P11" t="s">
        <v>129</v>
      </c>
      <c r="Q11" t="s">
        <v>130</v>
      </c>
      <c r="R11">
        <v>8.56</v>
      </c>
      <c r="S11">
        <v>2</v>
      </c>
      <c r="T11">
        <v>0</v>
      </c>
      <c r="U11">
        <v>2.4824000000000002</v>
      </c>
      <c r="V11">
        <v>6.0776000000000003</v>
      </c>
      <c r="W11">
        <v>8.56</v>
      </c>
      <c r="X11">
        <v>0.32907726734237197</v>
      </c>
    </row>
    <row r="12" spans="1:24" x14ac:dyDescent="0.3">
      <c r="A12" t="s">
        <v>131</v>
      </c>
      <c r="B12" t="s">
        <v>132</v>
      </c>
      <c r="C12" s="1">
        <v>43443</v>
      </c>
      <c r="D12" s="1">
        <v>43447</v>
      </c>
      <c r="E12" t="s">
        <v>54</v>
      </c>
      <c r="F12" t="s">
        <v>133</v>
      </c>
      <c r="G12" t="s">
        <v>134</v>
      </c>
      <c r="H12" t="s">
        <v>43</v>
      </c>
      <c r="I12" t="s">
        <v>30</v>
      </c>
      <c r="J12" t="s">
        <v>135</v>
      </c>
      <c r="K12" t="s">
        <v>136</v>
      </c>
      <c r="L12" t="s">
        <v>137</v>
      </c>
      <c r="M12" t="s">
        <v>99</v>
      </c>
      <c r="N12" t="s">
        <v>138</v>
      </c>
      <c r="O12" t="s">
        <v>49</v>
      </c>
      <c r="P12" t="s">
        <v>129</v>
      </c>
      <c r="Q12" t="s">
        <v>139</v>
      </c>
      <c r="R12">
        <v>19.46</v>
      </c>
      <c r="S12">
        <v>7</v>
      </c>
      <c r="T12">
        <v>0</v>
      </c>
      <c r="U12">
        <v>5.0595999999999997</v>
      </c>
      <c r="V12">
        <v>14.400400000000001</v>
      </c>
      <c r="W12">
        <v>19.46</v>
      </c>
      <c r="X12">
        <v>0.48609760839976662</v>
      </c>
    </row>
    <row r="13" spans="1:24" x14ac:dyDescent="0.3">
      <c r="A13" t="s">
        <v>140</v>
      </c>
      <c r="B13" t="s">
        <v>141</v>
      </c>
      <c r="C13" s="1">
        <v>43662</v>
      </c>
      <c r="D13" s="1">
        <v>43664</v>
      </c>
      <c r="E13" t="s">
        <v>26</v>
      </c>
      <c r="F13" t="s">
        <v>142</v>
      </c>
      <c r="G13" t="s">
        <v>143</v>
      </c>
      <c r="H13" t="s">
        <v>29</v>
      </c>
      <c r="I13" t="s">
        <v>30</v>
      </c>
      <c r="J13" t="s">
        <v>144</v>
      </c>
      <c r="K13" t="s">
        <v>145</v>
      </c>
      <c r="L13" t="s">
        <v>146</v>
      </c>
      <c r="M13" t="s">
        <v>147</v>
      </c>
      <c r="N13" t="s">
        <v>148</v>
      </c>
      <c r="O13" t="s">
        <v>36</v>
      </c>
      <c r="P13" t="s">
        <v>149</v>
      </c>
      <c r="Q13" t="s">
        <v>150</v>
      </c>
      <c r="R13">
        <v>71.372</v>
      </c>
      <c r="S13">
        <v>2</v>
      </c>
      <c r="T13">
        <v>0.3</v>
      </c>
      <c r="U13">
        <v>-1.0196000000000001</v>
      </c>
      <c r="V13">
        <v>72.391599999999997</v>
      </c>
      <c r="W13">
        <v>49.9604</v>
      </c>
      <c r="X13">
        <v>2.7627514794534173E-2</v>
      </c>
    </row>
    <row r="14" spans="1:24" x14ac:dyDescent="0.3">
      <c r="A14" t="s">
        <v>151</v>
      </c>
      <c r="B14" t="s">
        <v>152</v>
      </c>
      <c r="C14" s="1">
        <v>43003</v>
      </c>
      <c r="D14" s="1">
        <v>43008</v>
      </c>
      <c r="E14" t="s">
        <v>54</v>
      </c>
      <c r="F14" t="s">
        <v>153</v>
      </c>
      <c r="G14" t="s">
        <v>154</v>
      </c>
      <c r="H14" t="s">
        <v>29</v>
      </c>
      <c r="I14" t="s">
        <v>30</v>
      </c>
      <c r="J14" t="s">
        <v>155</v>
      </c>
      <c r="K14" t="s">
        <v>118</v>
      </c>
      <c r="L14" t="s">
        <v>156</v>
      </c>
      <c r="M14" t="s">
        <v>47</v>
      </c>
      <c r="N14" t="s">
        <v>60</v>
      </c>
      <c r="O14" t="s">
        <v>36</v>
      </c>
      <c r="P14" t="s">
        <v>61</v>
      </c>
      <c r="Q14" t="s">
        <v>62</v>
      </c>
      <c r="R14">
        <v>1044.6300000000001</v>
      </c>
      <c r="S14">
        <v>3</v>
      </c>
      <c r="T14">
        <v>0</v>
      </c>
      <c r="U14">
        <v>240.26490000000001</v>
      </c>
      <c r="V14">
        <v>804.3651000000001</v>
      </c>
      <c r="W14">
        <v>1044.6300000000001</v>
      </c>
      <c r="X14">
        <v>3.7296496329838275E-3</v>
      </c>
    </row>
    <row r="15" spans="1:24" x14ac:dyDescent="0.3">
      <c r="A15" t="s">
        <v>157</v>
      </c>
      <c r="B15" t="s">
        <v>158</v>
      </c>
      <c r="C15" s="1">
        <v>43116</v>
      </c>
      <c r="D15" s="1">
        <v>43120</v>
      </c>
      <c r="E15" t="s">
        <v>26</v>
      </c>
      <c r="F15" t="s">
        <v>159</v>
      </c>
      <c r="G15" t="s">
        <v>160</v>
      </c>
      <c r="H15" t="s">
        <v>29</v>
      </c>
      <c r="I15" t="s">
        <v>30</v>
      </c>
      <c r="J15" t="s">
        <v>44</v>
      </c>
      <c r="K15" t="s">
        <v>45</v>
      </c>
      <c r="L15" t="s">
        <v>161</v>
      </c>
      <c r="M15" t="s">
        <v>47</v>
      </c>
      <c r="N15" t="s">
        <v>162</v>
      </c>
      <c r="O15" t="s">
        <v>49</v>
      </c>
      <c r="P15" t="s">
        <v>89</v>
      </c>
      <c r="Q15" t="s">
        <v>163</v>
      </c>
      <c r="R15">
        <v>11.648</v>
      </c>
      <c r="S15">
        <v>2</v>
      </c>
      <c r="T15">
        <v>0.2</v>
      </c>
      <c r="U15">
        <v>4.2224000000000004</v>
      </c>
      <c r="V15">
        <v>7.4255999999999993</v>
      </c>
      <c r="W15">
        <v>9.3184000000000005</v>
      </c>
      <c r="X15">
        <v>0.26933850463262232</v>
      </c>
    </row>
    <row r="16" spans="1:24" x14ac:dyDescent="0.3">
      <c r="A16" t="s">
        <v>164</v>
      </c>
      <c r="B16" t="s">
        <v>165</v>
      </c>
      <c r="C16" s="1">
        <v>42995</v>
      </c>
      <c r="D16" s="1">
        <v>42999</v>
      </c>
      <c r="E16" t="s">
        <v>54</v>
      </c>
      <c r="F16" t="s">
        <v>166</v>
      </c>
      <c r="G16" t="s">
        <v>167</v>
      </c>
      <c r="H16" t="s">
        <v>29</v>
      </c>
      <c r="I16" t="s">
        <v>30</v>
      </c>
      <c r="J16" t="s">
        <v>144</v>
      </c>
      <c r="K16" t="s">
        <v>145</v>
      </c>
      <c r="L16" t="s">
        <v>146</v>
      </c>
      <c r="M16" t="s">
        <v>147</v>
      </c>
      <c r="N16" t="s">
        <v>168</v>
      </c>
      <c r="O16" t="s">
        <v>36</v>
      </c>
      <c r="P16" t="s">
        <v>37</v>
      </c>
      <c r="Q16" t="s">
        <v>169</v>
      </c>
      <c r="R16">
        <v>3083.43</v>
      </c>
      <c r="S16">
        <v>7</v>
      </c>
      <c r="T16">
        <v>0.5</v>
      </c>
      <c r="U16">
        <v>-1665.0522000000001</v>
      </c>
      <c r="V16">
        <v>4748.4822000000004</v>
      </c>
      <c r="W16">
        <v>1541.7149999999999</v>
      </c>
      <c r="X16">
        <v>1.4741552574420516E-3</v>
      </c>
    </row>
    <row r="17" spans="1:24" x14ac:dyDescent="0.3">
      <c r="A17" t="s">
        <v>170</v>
      </c>
      <c r="B17" t="s">
        <v>171</v>
      </c>
      <c r="C17" s="1">
        <v>43757</v>
      </c>
      <c r="D17" s="1">
        <v>43761</v>
      </c>
      <c r="E17" t="s">
        <v>26</v>
      </c>
      <c r="F17" t="s">
        <v>172</v>
      </c>
      <c r="G17" t="s">
        <v>173</v>
      </c>
      <c r="H17" t="s">
        <v>95</v>
      </c>
      <c r="I17" t="s">
        <v>30</v>
      </c>
      <c r="J17" t="s">
        <v>174</v>
      </c>
      <c r="K17" t="s">
        <v>97</v>
      </c>
      <c r="L17" t="s">
        <v>175</v>
      </c>
      <c r="M17" t="s">
        <v>99</v>
      </c>
      <c r="N17" t="s">
        <v>176</v>
      </c>
      <c r="O17" t="s">
        <v>49</v>
      </c>
      <c r="P17" t="s">
        <v>79</v>
      </c>
      <c r="Q17" t="s">
        <v>177</v>
      </c>
      <c r="R17">
        <v>29.472000000000001</v>
      </c>
      <c r="S17">
        <v>3</v>
      </c>
      <c r="T17">
        <v>0.2</v>
      </c>
      <c r="U17">
        <v>9.9467999999999996</v>
      </c>
      <c r="V17">
        <v>19.525200000000002</v>
      </c>
      <c r="W17">
        <v>23.577600000000004</v>
      </c>
      <c r="X17">
        <v>0.15364759387867985</v>
      </c>
    </row>
    <row r="18" spans="1:24" x14ac:dyDescent="0.3">
      <c r="A18" t="s">
        <v>178</v>
      </c>
      <c r="B18" t="s">
        <v>179</v>
      </c>
      <c r="C18" s="1">
        <v>43442</v>
      </c>
      <c r="D18" s="1">
        <v>43444</v>
      </c>
      <c r="E18" t="s">
        <v>180</v>
      </c>
      <c r="F18" t="s">
        <v>181</v>
      </c>
      <c r="G18" t="s">
        <v>182</v>
      </c>
      <c r="H18" t="s">
        <v>43</v>
      </c>
      <c r="I18" t="s">
        <v>30</v>
      </c>
      <c r="J18" t="s">
        <v>183</v>
      </c>
      <c r="K18" t="s">
        <v>97</v>
      </c>
      <c r="L18" t="s">
        <v>184</v>
      </c>
      <c r="M18" t="s">
        <v>99</v>
      </c>
      <c r="N18" t="s">
        <v>185</v>
      </c>
      <c r="O18" t="s">
        <v>186</v>
      </c>
      <c r="P18" t="s">
        <v>187</v>
      </c>
      <c r="Q18" t="s">
        <v>188</v>
      </c>
      <c r="R18">
        <v>1097.5440000000001</v>
      </c>
      <c r="S18">
        <v>7</v>
      </c>
      <c r="T18">
        <v>0.2</v>
      </c>
      <c r="U18">
        <v>123.47369999999999</v>
      </c>
      <c r="V18">
        <v>974.07030000000009</v>
      </c>
      <c r="W18">
        <v>878.03520000000015</v>
      </c>
      <c r="X18">
        <v>7.1863396307227509E-3</v>
      </c>
    </row>
    <row r="19" spans="1:24" x14ac:dyDescent="0.3">
      <c r="A19" t="s">
        <v>189</v>
      </c>
      <c r="B19" t="s">
        <v>190</v>
      </c>
      <c r="C19" s="1">
        <v>43096</v>
      </c>
      <c r="D19" s="1">
        <v>43100</v>
      </c>
      <c r="E19" t="s">
        <v>54</v>
      </c>
      <c r="F19" t="s">
        <v>191</v>
      </c>
      <c r="G19" t="s">
        <v>192</v>
      </c>
      <c r="H19" t="s">
        <v>95</v>
      </c>
      <c r="I19" t="s">
        <v>30</v>
      </c>
      <c r="J19" t="s">
        <v>174</v>
      </c>
      <c r="K19" t="s">
        <v>97</v>
      </c>
      <c r="L19" t="s">
        <v>193</v>
      </c>
      <c r="M19" t="s">
        <v>99</v>
      </c>
      <c r="N19" t="s">
        <v>194</v>
      </c>
      <c r="O19" t="s">
        <v>49</v>
      </c>
      <c r="P19" t="s">
        <v>195</v>
      </c>
      <c r="Q19" t="s">
        <v>196</v>
      </c>
      <c r="R19">
        <v>113.328</v>
      </c>
      <c r="S19">
        <v>9</v>
      </c>
      <c r="T19">
        <v>0.2</v>
      </c>
      <c r="U19">
        <v>35.414999999999999</v>
      </c>
      <c r="V19">
        <v>77.913000000000011</v>
      </c>
      <c r="W19">
        <v>90.662400000000005</v>
      </c>
      <c r="X19">
        <v>0.1155134573177775</v>
      </c>
    </row>
    <row r="20" spans="1:24" x14ac:dyDescent="0.3">
      <c r="A20" t="s">
        <v>197</v>
      </c>
      <c r="B20" t="s">
        <v>198</v>
      </c>
      <c r="C20" s="1">
        <v>43718</v>
      </c>
      <c r="D20" s="1">
        <v>43723</v>
      </c>
      <c r="E20" t="s">
        <v>54</v>
      </c>
      <c r="F20" t="s">
        <v>199</v>
      </c>
      <c r="G20" t="s">
        <v>200</v>
      </c>
      <c r="H20" t="s">
        <v>43</v>
      </c>
      <c r="I20" t="s">
        <v>30</v>
      </c>
      <c r="J20" t="s">
        <v>201</v>
      </c>
      <c r="K20" t="s">
        <v>202</v>
      </c>
      <c r="L20" t="s">
        <v>203</v>
      </c>
      <c r="M20" t="s">
        <v>99</v>
      </c>
      <c r="N20" t="s">
        <v>204</v>
      </c>
      <c r="O20" t="s">
        <v>186</v>
      </c>
      <c r="P20" t="s">
        <v>187</v>
      </c>
      <c r="Q20" t="s">
        <v>205</v>
      </c>
      <c r="R20">
        <v>147.16800000000001</v>
      </c>
      <c r="S20">
        <v>4</v>
      </c>
      <c r="T20">
        <v>0.2</v>
      </c>
      <c r="U20">
        <v>16.5564</v>
      </c>
      <c r="V20">
        <v>130.61160000000001</v>
      </c>
      <c r="W20">
        <v>117.73440000000001</v>
      </c>
      <c r="X20">
        <v>3.0625151211684104E-2</v>
      </c>
    </row>
    <row r="21" spans="1:24" x14ac:dyDescent="0.3">
      <c r="A21" t="s">
        <v>206</v>
      </c>
      <c r="B21" t="s">
        <v>207</v>
      </c>
      <c r="C21" s="1">
        <v>43298</v>
      </c>
      <c r="D21" s="1">
        <v>43303</v>
      </c>
      <c r="E21" t="s">
        <v>54</v>
      </c>
      <c r="F21" t="s">
        <v>208</v>
      </c>
      <c r="G21" t="s">
        <v>209</v>
      </c>
      <c r="H21" t="s">
        <v>43</v>
      </c>
      <c r="I21" t="s">
        <v>30</v>
      </c>
      <c r="J21" t="s">
        <v>44</v>
      </c>
      <c r="K21" t="s">
        <v>45</v>
      </c>
      <c r="L21" t="s">
        <v>161</v>
      </c>
      <c r="M21" t="s">
        <v>47</v>
      </c>
      <c r="N21" t="s">
        <v>210</v>
      </c>
      <c r="O21" t="s">
        <v>49</v>
      </c>
      <c r="P21" t="s">
        <v>111</v>
      </c>
      <c r="Q21" t="s">
        <v>211</v>
      </c>
      <c r="R21">
        <v>77.88</v>
      </c>
      <c r="S21">
        <v>2</v>
      </c>
      <c r="T21">
        <v>0</v>
      </c>
      <c r="U21">
        <v>3.8940000000000001</v>
      </c>
      <c r="V21">
        <v>73.98599999999999</v>
      </c>
      <c r="W21">
        <v>77.88</v>
      </c>
      <c r="X21">
        <v>2.7032141215905716E-2</v>
      </c>
    </row>
    <row r="22" spans="1:24" x14ac:dyDescent="0.3">
      <c r="A22" t="s">
        <v>212</v>
      </c>
      <c r="B22" t="s">
        <v>213</v>
      </c>
      <c r="C22" s="1">
        <v>43727</v>
      </c>
      <c r="D22" s="1">
        <v>43731</v>
      </c>
      <c r="E22" t="s">
        <v>54</v>
      </c>
      <c r="F22" t="s">
        <v>214</v>
      </c>
      <c r="G22" t="s">
        <v>215</v>
      </c>
      <c r="H22" t="s">
        <v>43</v>
      </c>
      <c r="I22" t="s">
        <v>30</v>
      </c>
      <c r="J22" t="s">
        <v>216</v>
      </c>
      <c r="K22" t="s">
        <v>58</v>
      </c>
      <c r="L22" t="s">
        <v>217</v>
      </c>
      <c r="M22" t="s">
        <v>34</v>
      </c>
      <c r="N22" t="s">
        <v>218</v>
      </c>
      <c r="O22" t="s">
        <v>49</v>
      </c>
      <c r="P22" t="s">
        <v>111</v>
      </c>
      <c r="Q22" t="s">
        <v>219</v>
      </c>
      <c r="R22">
        <v>95.616</v>
      </c>
      <c r="S22">
        <v>2</v>
      </c>
      <c r="T22">
        <v>0.2</v>
      </c>
      <c r="U22">
        <v>9.5616000000000003</v>
      </c>
      <c r="V22">
        <v>86.054400000000001</v>
      </c>
      <c r="W22">
        <v>76.492800000000003</v>
      </c>
      <c r="X22">
        <v>2.3241112598542318E-2</v>
      </c>
    </row>
    <row r="23" spans="1:24" x14ac:dyDescent="0.3">
      <c r="A23" t="s">
        <v>220</v>
      </c>
      <c r="B23" t="s">
        <v>221</v>
      </c>
      <c r="C23" s="1">
        <v>43170</v>
      </c>
      <c r="D23" s="1">
        <v>43172</v>
      </c>
      <c r="E23" t="s">
        <v>180</v>
      </c>
      <c r="F23" t="s">
        <v>222</v>
      </c>
      <c r="G23" t="s">
        <v>223</v>
      </c>
      <c r="H23" t="s">
        <v>43</v>
      </c>
      <c r="I23" t="s">
        <v>30</v>
      </c>
      <c r="J23" t="s">
        <v>224</v>
      </c>
      <c r="K23" t="s">
        <v>225</v>
      </c>
      <c r="L23" t="s">
        <v>226</v>
      </c>
      <c r="M23" t="s">
        <v>99</v>
      </c>
      <c r="N23" t="s">
        <v>227</v>
      </c>
      <c r="O23" t="s">
        <v>186</v>
      </c>
      <c r="P23" t="s">
        <v>228</v>
      </c>
      <c r="Q23" t="s">
        <v>229</v>
      </c>
      <c r="R23">
        <v>45.98</v>
      </c>
      <c r="S23">
        <v>2</v>
      </c>
      <c r="T23">
        <v>0</v>
      </c>
      <c r="U23">
        <v>19.7714</v>
      </c>
      <c r="V23">
        <v>26.208599999999997</v>
      </c>
      <c r="W23">
        <v>45.98</v>
      </c>
      <c r="X23">
        <v>7.631082926978168E-2</v>
      </c>
    </row>
    <row r="24" spans="1:24" x14ac:dyDescent="0.3">
      <c r="A24" t="s">
        <v>230</v>
      </c>
      <c r="B24" t="s">
        <v>231</v>
      </c>
      <c r="C24" s="1">
        <v>42663</v>
      </c>
      <c r="D24" s="1">
        <v>42668</v>
      </c>
      <c r="E24" t="s">
        <v>26</v>
      </c>
      <c r="F24" t="s">
        <v>232</v>
      </c>
      <c r="G24" t="s">
        <v>233</v>
      </c>
      <c r="H24" t="s">
        <v>29</v>
      </c>
      <c r="I24" t="s">
        <v>30</v>
      </c>
      <c r="J24" t="s">
        <v>234</v>
      </c>
      <c r="K24" t="s">
        <v>235</v>
      </c>
      <c r="L24" t="s">
        <v>236</v>
      </c>
      <c r="M24" t="s">
        <v>99</v>
      </c>
      <c r="N24" t="s">
        <v>237</v>
      </c>
      <c r="O24" t="s">
        <v>49</v>
      </c>
      <c r="P24" t="s">
        <v>111</v>
      </c>
      <c r="Q24" t="s">
        <v>238</v>
      </c>
      <c r="R24">
        <v>211.96</v>
      </c>
      <c r="S24">
        <v>4</v>
      </c>
      <c r="T24">
        <v>0</v>
      </c>
      <c r="U24">
        <v>8.4784000000000006</v>
      </c>
      <c r="V24">
        <v>203.48160000000001</v>
      </c>
      <c r="W24">
        <v>211.96</v>
      </c>
      <c r="X24">
        <v>1.9657797068629301E-2</v>
      </c>
    </row>
    <row r="25" spans="1:24" x14ac:dyDescent="0.3">
      <c r="A25" t="s">
        <v>239</v>
      </c>
      <c r="B25" t="s">
        <v>240</v>
      </c>
      <c r="C25" s="1">
        <v>43271</v>
      </c>
      <c r="D25" s="1">
        <v>43276</v>
      </c>
      <c r="E25" t="s">
        <v>54</v>
      </c>
      <c r="F25" t="s">
        <v>241</v>
      </c>
      <c r="G25" t="s">
        <v>242</v>
      </c>
      <c r="H25" t="s">
        <v>29</v>
      </c>
      <c r="I25" t="s">
        <v>30</v>
      </c>
      <c r="J25" t="s">
        <v>243</v>
      </c>
      <c r="K25" t="s">
        <v>244</v>
      </c>
      <c r="L25" t="s">
        <v>245</v>
      </c>
      <c r="M25" t="s">
        <v>147</v>
      </c>
      <c r="N25" t="s">
        <v>246</v>
      </c>
      <c r="O25" t="s">
        <v>186</v>
      </c>
      <c r="P25" t="s">
        <v>228</v>
      </c>
      <c r="Q25" t="s">
        <v>247</v>
      </c>
      <c r="R25">
        <v>45</v>
      </c>
      <c r="S25">
        <v>3</v>
      </c>
      <c r="T25">
        <v>0</v>
      </c>
      <c r="U25">
        <v>4.95</v>
      </c>
      <c r="V25">
        <v>40.049999999999997</v>
      </c>
      <c r="W25">
        <v>45</v>
      </c>
      <c r="X25">
        <v>7.4906367041198504E-2</v>
      </c>
    </row>
    <row r="26" spans="1:24" x14ac:dyDescent="0.3">
      <c r="A26" t="s">
        <v>248</v>
      </c>
      <c r="B26" t="s">
        <v>249</v>
      </c>
      <c r="C26" s="1">
        <v>42843</v>
      </c>
      <c r="D26" s="1">
        <v>42847</v>
      </c>
      <c r="E26" t="s">
        <v>54</v>
      </c>
      <c r="F26" t="s">
        <v>250</v>
      </c>
      <c r="G26" t="s">
        <v>251</v>
      </c>
      <c r="H26" t="s">
        <v>29</v>
      </c>
      <c r="I26" t="s">
        <v>30</v>
      </c>
      <c r="J26" t="s">
        <v>252</v>
      </c>
      <c r="K26" t="s">
        <v>253</v>
      </c>
      <c r="L26" t="s">
        <v>254</v>
      </c>
      <c r="M26" t="s">
        <v>99</v>
      </c>
      <c r="N26" t="s">
        <v>255</v>
      </c>
      <c r="O26" t="s">
        <v>49</v>
      </c>
      <c r="P26" t="s">
        <v>89</v>
      </c>
      <c r="Q26" t="s">
        <v>256</v>
      </c>
      <c r="R26">
        <v>38.22</v>
      </c>
      <c r="S26">
        <v>6</v>
      </c>
      <c r="T26">
        <v>0</v>
      </c>
      <c r="U26">
        <v>17.9634</v>
      </c>
      <c r="V26">
        <v>20.256599999999999</v>
      </c>
      <c r="W26">
        <v>38.22</v>
      </c>
      <c r="X26">
        <v>0.29619975711619917</v>
      </c>
    </row>
    <row r="27" spans="1:24" x14ac:dyDescent="0.3">
      <c r="A27" t="s">
        <v>257</v>
      </c>
      <c r="B27" t="s">
        <v>258</v>
      </c>
      <c r="C27" s="1">
        <v>43445</v>
      </c>
      <c r="D27" s="1">
        <v>43451</v>
      </c>
      <c r="E27" t="s">
        <v>54</v>
      </c>
      <c r="F27" t="s">
        <v>259</v>
      </c>
      <c r="G27" t="s">
        <v>260</v>
      </c>
      <c r="H27" t="s">
        <v>43</v>
      </c>
      <c r="I27" t="s">
        <v>30</v>
      </c>
      <c r="J27" t="s">
        <v>261</v>
      </c>
      <c r="K27" t="s">
        <v>262</v>
      </c>
      <c r="L27" t="s">
        <v>263</v>
      </c>
      <c r="M27" t="s">
        <v>147</v>
      </c>
      <c r="N27" t="s">
        <v>264</v>
      </c>
      <c r="O27" t="s">
        <v>49</v>
      </c>
      <c r="P27" t="s">
        <v>265</v>
      </c>
      <c r="Q27" t="s">
        <v>266</v>
      </c>
      <c r="R27">
        <v>15.26</v>
      </c>
      <c r="S27">
        <v>7</v>
      </c>
      <c r="T27">
        <v>0</v>
      </c>
      <c r="U27">
        <v>6.2565999999999997</v>
      </c>
      <c r="V27">
        <v>9.0033999999999992</v>
      </c>
      <c r="W27">
        <v>15.26</v>
      </c>
      <c r="X27">
        <v>0.77748406157673777</v>
      </c>
    </row>
    <row r="28" spans="1:24" x14ac:dyDescent="0.3">
      <c r="A28" t="s">
        <v>267</v>
      </c>
      <c r="B28" t="s">
        <v>268</v>
      </c>
      <c r="C28" s="1">
        <v>43268</v>
      </c>
      <c r="D28" s="1">
        <v>43269</v>
      </c>
      <c r="E28" t="s">
        <v>180</v>
      </c>
      <c r="F28" t="s">
        <v>269</v>
      </c>
      <c r="G28" t="s">
        <v>270</v>
      </c>
      <c r="H28" t="s">
        <v>29</v>
      </c>
      <c r="I28" t="s">
        <v>30</v>
      </c>
      <c r="J28" t="s">
        <v>271</v>
      </c>
      <c r="K28" t="s">
        <v>262</v>
      </c>
      <c r="L28" t="s">
        <v>272</v>
      </c>
      <c r="M28" t="s">
        <v>147</v>
      </c>
      <c r="N28" t="s">
        <v>273</v>
      </c>
      <c r="O28" t="s">
        <v>49</v>
      </c>
      <c r="P28" t="s">
        <v>111</v>
      </c>
      <c r="Q28" t="s">
        <v>274</v>
      </c>
      <c r="R28">
        <v>208.56</v>
      </c>
      <c r="S28">
        <v>6</v>
      </c>
      <c r="T28">
        <v>0</v>
      </c>
      <c r="U28">
        <v>52.14</v>
      </c>
      <c r="V28">
        <v>156.42000000000002</v>
      </c>
      <c r="W28">
        <v>208.56</v>
      </c>
      <c r="X28">
        <v>3.8358266206367467E-2</v>
      </c>
    </row>
    <row r="29" spans="1:24" x14ac:dyDescent="0.3">
      <c r="A29" t="s">
        <v>275</v>
      </c>
      <c r="B29" t="s">
        <v>276</v>
      </c>
      <c r="C29" s="1">
        <v>43063</v>
      </c>
      <c r="D29" s="1">
        <v>43069</v>
      </c>
      <c r="E29" t="s">
        <v>54</v>
      </c>
      <c r="F29" t="s">
        <v>277</v>
      </c>
      <c r="G29" t="s">
        <v>278</v>
      </c>
      <c r="H29" t="s">
        <v>29</v>
      </c>
      <c r="I29" t="s">
        <v>30</v>
      </c>
      <c r="J29" t="s">
        <v>44</v>
      </c>
      <c r="K29" t="s">
        <v>45</v>
      </c>
      <c r="L29" t="s">
        <v>279</v>
      </c>
      <c r="M29" t="s">
        <v>47</v>
      </c>
      <c r="N29" t="s">
        <v>280</v>
      </c>
      <c r="O29" t="s">
        <v>186</v>
      </c>
      <c r="P29" t="s">
        <v>228</v>
      </c>
      <c r="Q29" t="s">
        <v>281</v>
      </c>
      <c r="R29">
        <v>13.98</v>
      </c>
      <c r="S29">
        <v>2</v>
      </c>
      <c r="T29">
        <v>0</v>
      </c>
      <c r="U29">
        <v>6.1512000000000002</v>
      </c>
      <c r="V29">
        <v>7.8288000000000002</v>
      </c>
      <c r="W29">
        <v>13.98</v>
      </c>
      <c r="X29">
        <v>0.25546699366441855</v>
      </c>
    </row>
    <row r="30" spans="1:24" x14ac:dyDescent="0.3">
      <c r="A30" t="s">
        <v>282</v>
      </c>
      <c r="B30" t="s">
        <v>283</v>
      </c>
      <c r="C30" s="1">
        <v>42855</v>
      </c>
      <c r="D30" s="1">
        <v>42860</v>
      </c>
      <c r="E30" t="s">
        <v>54</v>
      </c>
      <c r="F30" t="s">
        <v>284</v>
      </c>
      <c r="G30" t="s">
        <v>285</v>
      </c>
      <c r="H30" t="s">
        <v>95</v>
      </c>
      <c r="I30" t="s">
        <v>30</v>
      </c>
      <c r="J30" t="s">
        <v>286</v>
      </c>
      <c r="K30" t="s">
        <v>202</v>
      </c>
      <c r="L30" t="s">
        <v>287</v>
      </c>
      <c r="M30" t="s">
        <v>99</v>
      </c>
      <c r="N30" t="s">
        <v>288</v>
      </c>
      <c r="O30" t="s">
        <v>36</v>
      </c>
      <c r="P30" t="s">
        <v>149</v>
      </c>
      <c r="Q30" t="s">
        <v>289</v>
      </c>
      <c r="R30">
        <v>213.11500000000001</v>
      </c>
      <c r="S30">
        <v>5</v>
      </c>
      <c r="T30">
        <v>0.3</v>
      </c>
      <c r="U30">
        <v>-15.2225</v>
      </c>
      <c r="V30">
        <v>228.33750000000001</v>
      </c>
      <c r="W30">
        <v>149.18049999999999</v>
      </c>
      <c r="X30">
        <v>2.1897410631192861E-2</v>
      </c>
    </row>
    <row r="31" spans="1:24" x14ac:dyDescent="0.3">
      <c r="A31" t="s">
        <v>290</v>
      </c>
      <c r="B31" t="s">
        <v>291</v>
      </c>
      <c r="C31" s="1">
        <v>42709</v>
      </c>
      <c r="D31" s="1">
        <v>42714</v>
      </c>
      <c r="E31" t="s">
        <v>54</v>
      </c>
      <c r="F31" t="s">
        <v>292</v>
      </c>
      <c r="G31" t="s">
        <v>293</v>
      </c>
      <c r="H31" t="s">
        <v>43</v>
      </c>
      <c r="I31" t="s">
        <v>30</v>
      </c>
      <c r="J31" t="s">
        <v>294</v>
      </c>
      <c r="K31" t="s">
        <v>295</v>
      </c>
      <c r="L31" t="s">
        <v>296</v>
      </c>
      <c r="M31" t="s">
        <v>47</v>
      </c>
      <c r="N31" t="s">
        <v>297</v>
      </c>
      <c r="O31" t="s">
        <v>49</v>
      </c>
      <c r="P31" t="s">
        <v>129</v>
      </c>
      <c r="Q31" t="s">
        <v>298</v>
      </c>
      <c r="R31">
        <v>1113.0239999999999</v>
      </c>
      <c r="S31">
        <v>8</v>
      </c>
      <c r="T31">
        <v>0.2</v>
      </c>
      <c r="U31">
        <v>111.30240000000001</v>
      </c>
      <c r="V31">
        <v>1001.7215999999999</v>
      </c>
      <c r="W31">
        <v>890.41919999999993</v>
      </c>
      <c r="X31">
        <v>7.9862508705013466E-3</v>
      </c>
    </row>
    <row r="32" spans="1:24" x14ac:dyDescent="0.3">
      <c r="A32" t="s">
        <v>299</v>
      </c>
      <c r="B32" t="s">
        <v>300</v>
      </c>
      <c r="C32" s="1">
        <v>43255</v>
      </c>
      <c r="D32" s="1">
        <v>43257</v>
      </c>
      <c r="E32" t="s">
        <v>180</v>
      </c>
      <c r="F32" t="s">
        <v>301</v>
      </c>
      <c r="G32" t="s">
        <v>302</v>
      </c>
      <c r="H32" t="s">
        <v>29</v>
      </c>
      <c r="I32" t="s">
        <v>30</v>
      </c>
      <c r="J32" t="s">
        <v>303</v>
      </c>
      <c r="K32" t="s">
        <v>304</v>
      </c>
      <c r="L32" t="s">
        <v>305</v>
      </c>
      <c r="M32" t="s">
        <v>34</v>
      </c>
      <c r="N32" t="s">
        <v>306</v>
      </c>
      <c r="O32" t="s">
        <v>49</v>
      </c>
      <c r="P32" t="s">
        <v>79</v>
      </c>
      <c r="Q32" t="s">
        <v>307</v>
      </c>
      <c r="R32">
        <v>75.88</v>
      </c>
      <c r="S32">
        <v>2</v>
      </c>
      <c r="T32">
        <v>0</v>
      </c>
      <c r="U32">
        <v>35.663600000000002</v>
      </c>
      <c r="V32">
        <v>40.216399999999993</v>
      </c>
      <c r="W32">
        <v>75.88</v>
      </c>
      <c r="X32">
        <v>4.9730955530579574E-2</v>
      </c>
    </row>
    <row r="33" spans="1:24" x14ac:dyDescent="0.3">
      <c r="A33" t="s">
        <v>308</v>
      </c>
      <c r="B33" t="s">
        <v>309</v>
      </c>
      <c r="C33" s="1">
        <v>43361</v>
      </c>
      <c r="D33" s="1">
        <v>43366</v>
      </c>
      <c r="E33" t="s">
        <v>54</v>
      </c>
      <c r="F33" t="s">
        <v>310</v>
      </c>
      <c r="G33" t="s">
        <v>311</v>
      </c>
      <c r="H33" t="s">
        <v>29</v>
      </c>
      <c r="I33" t="s">
        <v>30</v>
      </c>
      <c r="J33" t="s">
        <v>261</v>
      </c>
      <c r="K33" t="s">
        <v>262</v>
      </c>
      <c r="L33" t="s">
        <v>312</v>
      </c>
      <c r="M33" t="s">
        <v>147</v>
      </c>
      <c r="N33" t="s">
        <v>313</v>
      </c>
      <c r="O33" t="s">
        <v>49</v>
      </c>
      <c r="P33" t="s">
        <v>89</v>
      </c>
      <c r="Q33" t="s">
        <v>314</v>
      </c>
      <c r="R33">
        <v>4.6159999999999997</v>
      </c>
      <c r="S33">
        <v>1</v>
      </c>
      <c r="T33">
        <v>0.2</v>
      </c>
      <c r="U33">
        <v>1.7310000000000001</v>
      </c>
      <c r="V33">
        <v>2.8849999999999998</v>
      </c>
      <c r="W33">
        <v>3.6928000000000001</v>
      </c>
      <c r="X33">
        <v>0.34662045060658581</v>
      </c>
    </row>
    <row r="34" spans="1:24" x14ac:dyDescent="0.3">
      <c r="A34" t="s">
        <v>315</v>
      </c>
      <c r="B34" t="s">
        <v>316</v>
      </c>
      <c r="C34" s="1">
        <v>42851</v>
      </c>
      <c r="D34" s="1">
        <v>42857</v>
      </c>
      <c r="E34" t="s">
        <v>54</v>
      </c>
      <c r="F34" t="s">
        <v>317</v>
      </c>
      <c r="G34" t="s">
        <v>318</v>
      </c>
      <c r="H34" t="s">
        <v>29</v>
      </c>
      <c r="I34" t="s">
        <v>30</v>
      </c>
      <c r="J34" t="s">
        <v>319</v>
      </c>
      <c r="K34" t="s">
        <v>320</v>
      </c>
      <c r="L34" t="s">
        <v>321</v>
      </c>
      <c r="M34" t="s">
        <v>34</v>
      </c>
      <c r="N34" t="s">
        <v>322</v>
      </c>
      <c r="O34" t="s">
        <v>36</v>
      </c>
      <c r="P34" t="s">
        <v>149</v>
      </c>
      <c r="Q34" t="s">
        <v>323</v>
      </c>
      <c r="R34">
        <v>831.93600000000004</v>
      </c>
      <c r="S34">
        <v>8</v>
      </c>
      <c r="T34">
        <v>0.2</v>
      </c>
      <c r="U34">
        <v>-114.3912</v>
      </c>
      <c r="V34">
        <v>946.32720000000006</v>
      </c>
      <c r="W34">
        <v>665.54880000000003</v>
      </c>
      <c r="X34">
        <v>8.4537356635210319E-3</v>
      </c>
    </row>
    <row r="35" spans="1:24" x14ac:dyDescent="0.3">
      <c r="A35" t="s">
        <v>324</v>
      </c>
      <c r="B35" t="s">
        <v>325</v>
      </c>
      <c r="C35" s="1">
        <v>43808</v>
      </c>
      <c r="D35" s="1">
        <v>43810</v>
      </c>
      <c r="E35" t="s">
        <v>180</v>
      </c>
      <c r="F35" t="s">
        <v>326</v>
      </c>
      <c r="G35" t="s">
        <v>327</v>
      </c>
      <c r="H35" t="s">
        <v>43</v>
      </c>
      <c r="I35" t="s">
        <v>30</v>
      </c>
      <c r="J35" t="s">
        <v>174</v>
      </c>
      <c r="K35" t="s">
        <v>97</v>
      </c>
      <c r="L35" t="s">
        <v>193</v>
      </c>
      <c r="M35" t="s">
        <v>99</v>
      </c>
      <c r="N35" t="s">
        <v>328</v>
      </c>
      <c r="O35" t="s">
        <v>49</v>
      </c>
      <c r="P35" t="s">
        <v>89</v>
      </c>
      <c r="Q35" t="s">
        <v>329</v>
      </c>
      <c r="R35">
        <v>1.248</v>
      </c>
      <c r="S35">
        <v>3</v>
      </c>
      <c r="T35">
        <v>0.8</v>
      </c>
      <c r="U35">
        <v>-1.9343999999999999</v>
      </c>
      <c r="V35">
        <v>3.1823999999999999</v>
      </c>
      <c r="W35">
        <v>0.24959999999999993</v>
      </c>
      <c r="X35">
        <v>0.94268476621417796</v>
      </c>
    </row>
    <row r="36" spans="1:24" x14ac:dyDescent="0.3">
      <c r="A36" t="s">
        <v>330</v>
      </c>
      <c r="B36" t="s">
        <v>331</v>
      </c>
      <c r="C36" s="1">
        <v>43263</v>
      </c>
      <c r="D36" s="1">
        <v>43266</v>
      </c>
      <c r="E36" t="s">
        <v>180</v>
      </c>
      <c r="F36" t="s">
        <v>332</v>
      </c>
      <c r="G36" t="s">
        <v>333</v>
      </c>
      <c r="H36" t="s">
        <v>43</v>
      </c>
      <c r="I36" t="s">
        <v>30</v>
      </c>
      <c r="J36" t="s">
        <v>334</v>
      </c>
      <c r="K36" t="s">
        <v>335</v>
      </c>
      <c r="L36" t="s">
        <v>336</v>
      </c>
      <c r="M36" t="s">
        <v>34</v>
      </c>
      <c r="N36" t="s">
        <v>337</v>
      </c>
      <c r="O36" t="s">
        <v>49</v>
      </c>
      <c r="P36" t="s">
        <v>101</v>
      </c>
      <c r="Q36" t="s">
        <v>338</v>
      </c>
      <c r="R36">
        <v>208.16</v>
      </c>
      <c r="S36">
        <v>1</v>
      </c>
      <c r="T36">
        <v>0</v>
      </c>
      <c r="U36">
        <v>56.203200000000002</v>
      </c>
      <c r="V36">
        <v>151.95679999999999</v>
      </c>
      <c r="W36">
        <v>208.16</v>
      </c>
      <c r="X36">
        <v>6.5808177060848877E-3</v>
      </c>
    </row>
    <row r="37" spans="1:24" x14ac:dyDescent="0.3">
      <c r="A37" t="s">
        <v>339</v>
      </c>
      <c r="B37" t="s">
        <v>340</v>
      </c>
      <c r="C37" s="1">
        <v>42655</v>
      </c>
      <c r="D37" s="1">
        <v>42659</v>
      </c>
      <c r="E37" t="s">
        <v>54</v>
      </c>
      <c r="F37" t="s">
        <v>341</v>
      </c>
      <c r="G37" t="s">
        <v>342</v>
      </c>
      <c r="H37" t="s">
        <v>29</v>
      </c>
      <c r="I37" t="s">
        <v>30</v>
      </c>
      <c r="J37" t="s">
        <v>126</v>
      </c>
      <c r="K37" t="s">
        <v>45</v>
      </c>
      <c r="L37" t="s">
        <v>343</v>
      </c>
      <c r="M37" t="s">
        <v>47</v>
      </c>
      <c r="N37" t="s">
        <v>344</v>
      </c>
      <c r="O37" t="s">
        <v>49</v>
      </c>
      <c r="P37" t="s">
        <v>129</v>
      </c>
      <c r="Q37" t="s">
        <v>345</v>
      </c>
      <c r="R37">
        <v>14.9</v>
      </c>
      <c r="S37">
        <v>5</v>
      </c>
      <c r="T37">
        <v>0</v>
      </c>
      <c r="U37">
        <v>4.1719999999999997</v>
      </c>
      <c r="V37">
        <v>10.728000000000002</v>
      </c>
      <c r="W37">
        <v>14.9</v>
      </c>
      <c r="X37">
        <v>0.46607009694258011</v>
      </c>
    </row>
    <row r="38" spans="1:24" x14ac:dyDescent="0.3">
      <c r="A38" t="s">
        <v>346</v>
      </c>
      <c r="B38" t="s">
        <v>347</v>
      </c>
      <c r="C38" s="1">
        <v>42981</v>
      </c>
      <c r="D38" s="1">
        <v>42986</v>
      </c>
      <c r="E38" t="s">
        <v>54</v>
      </c>
      <c r="F38" t="s">
        <v>348</v>
      </c>
      <c r="G38" t="s">
        <v>349</v>
      </c>
      <c r="H38" t="s">
        <v>43</v>
      </c>
      <c r="I38" t="s">
        <v>30</v>
      </c>
      <c r="J38" t="s">
        <v>350</v>
      </c>
      <c r="K38" t="s">
        <v>76</v>
      </c>
      <c r="L38" t="s">
        <v>351</v>
      </c>
      <c r="M38" t="s">
        <v>34</v>
      </c>
      <c r="N38" t="s">
        <v>352</v>
      </c>
      <c r="O38" t="s">
        <v>49</v>
      </c>
      <c r="P38" t="s">
        <v>195</v>
      </c>
      <c r="Q38" t="s">
        <v>353</v>
      </c>
      <c r="R38">
        <v>200.98400000000001</v>
      </c>
      <c r="S38">
        <v>7</v>
      </c>
      <c r="T38">
        <v>0.2</v>
      </c>
      <c r="U38">
        <v>62.807499999999997</v>
      </c>
      <c r="V38">
        <v>138.1765</v>
      </c>
      <c r="W38">
        <v>160.78720000000001</v>
      </c>
      <c r="X38">
        <v>5.065984447427746E-2</v>
      </c>
    </row>
    <row r="39" spans="1:24" x14ac:dyDescent="0.3">
      <c r="A39" t="s">
        <v>354</v>
      </c>
      <c r="B39" t="s">
        <v>355</v>
      </c>
      <c r="C39" s="1">
        <v>43782</v>
      </c>
      <c r="D39" s="1">
        <v>43785</v>
      </c>
      <c r="E39" t="s">
        <v>180</v>
      </c>
      <c r="F39" t="s">
        <v>356</v>
      </c>
      <c r="G39" t="s">
        <v>357</v>
      </c>
      <c r="H39" t="s">
        <v>95</v>
      </c>
      <c r="I39" t="s">
        <v>30</v>
      </c>
      <c r="J39" t="s">
        <v>286</v>
      </c>
      <c r="K39" t="s">
        <v>202</v>
      </c>
      <c r="L39" t="s">
        <v>358</v>
      </c>
      <c r="M39" t="s">
        <v>99</v>
      </c>
      <c r="N39" t="s">
        <v>359</v>
      </c>
      <c r="O39" t="s">
        <v>49</v>
      </c>
      <c r="P39" t="s">
        <v>111</v>
      </c>
      <c r="Q39" t="s">
        <v>360</v>
      </c>
      <c r="R39">
        <v>230.376</v>
      </c>
      <c r="S39">
        <v>3</v>
      </c>
      <c r="T39">
        <v>0.2</v>
      </c>
      <c r="U39">
        <v>-48.954900000000002</v>
      </c>
      <c r="V39">
        <v>279.33089999999999</v>
      </c>
      <c r="W39">
        <v>184.30080000000001</v>
      </c>
      <c r="X39">
        <v>1.0739950359949436E-2</v>
      </c>
    </row>
    <row r="40" spans="1:24" x14ac:dyDescent="0.3">
      <c r="A40" t="s">
        <v>361</v>
      </c>
      <c r="B40" t="s">
        <v>362</v>
      </c>
      <c r="C40" s="1">
        <v>43764</v>
      </c>
      <c r="D40" s="1">
        <v>43771</v>
      </c>
      <c r="E40" t="s">
        <v>54</v>
      </c>
      <c r="F40" t="s">
        <v>363</v>
      </c>
      <c r="G40" t="s">
        <v>364</v>
      </c>
      <c r="H40" t="s">
        <v>29</v>
      </c>
      <c r="I40" t="s">
        <v>30</v>
      </c>
      <c r="J40" t="s">
        <v>365</v>
      </c>
      <c r="K40" t="s">
        <v>225</v>
      </c>
      <c r="L40" t="s">
        <v>366</v>
      </c>
      <c r="M40" t="s">
        <v>99</v>
      </c>
      <c r="N40" t="s">
        <v>367</v>
      </c>
      <c r="O40" t="s">
        <v>186</v>
      </c>
      <c r="P40" t="s">
        <v>228</v>
      </c>
      <c r="Q40" t="s">
        <v>368</v>
      </c>
      <c r="R40">
        <v>19.989999999999998</v>
      </c>
      <c r="S40">
        <v>1</v>
      </c>
      <c r="T40">
        <v>0</v>
      </c>
      <c r="U40">
        <v>6.7965999999999998</v>
      </c>
      <c r="V40">
        <v>13.193399999999999</v>
      </c>
      <c r="W40">
        <v>19.989999999999998</v>
      </c>
      <c r="X40">
        <v>7.5795473494322932E-2</v>
      </c>
    </row>
    <row r="41" spans="1:24" x14ac:dyDescent="0.3">
      <c r="A41" t="s">
        <v>369</v>
      </c>
      <c r="B41" t="s">
        <v>370</v>
      </c>
      <c r="C41" s="1">
        <v>43195</v>
      </c>
      <c r="D41" s="1">
        <v>43200</v>
      </c>
      <c r="E41" t="s">
        <v>26</v>
      </c>
      <c r="F41" t="s">
        <v>371</v>
      </c>
      <c r="G41" t="s">
        <v>372</v>
      </c>
      <c r="H41" t="s">
        <v>95</v>
      </c>
      <c r="I41" t="s">
        <v>30</v>
      </c>
      <c r="J41" t="s">
        <v>174</v>
      </c>
      <c r="K41" t="s">
        <v>97</v>
      </c>
      <c r="L41" t="s">
        <v>175</v>
      </c>
      <c r="M41" t="s">
        <v>99</v>
      </c>
      <c r="N41" t="s">
        <v>373</v>
      </c>
      <c r="O41" t="s">
        <v>49</v>
      </c>
      <c r="P41" t="s">
        <v>111</v>
      </c>
      <c r="Q41" t="s">
        <v>374</v>
      </c>
      <c r="R41">
        <v>158.36799999999999</v>
      </c>
      <c r="S41">
        <v>7</v>
      </c>
      <c r="T41">
        <v>0.2</v>
      </c>
      <c r="U41">
        <v>13.857200000000001</v>
      </c>
      <c r="V41">
        <v>144.51079999999999</v>
      </c>
      <c r="W41">
        <v>126.6944</v>
      </c>
      <c r="X41">
        <v>4.8439286198678579E-2</v>
      </c>
    </row>
    <row r="42" spans="1:24" x14ac:dyDescent="0.3">
      <c r="A42" t="s">
        <v>375</v>
      </c>
      <c r="B42" t="s">
        <v>376</v>
      </c>
      <c r="C42" s="1">
        <v>43360</v>
      </c>
      <c r="D42" s="1">
        <v>43365</v>
      </c>
      <c r="E42" t="s">
        <v>54</v>
      </c>
      <c r="F42" t="s">
        <v>377</v>
      </c>
      <c r="G42" t="s">
        <v>378</v>
      </c>
      <c r="H42" t="s">
        <v>43</v>
      </c>
      <c r="I42" t="s">
        <v>30</v>
      </c>
      <c r="J42" t="s">
        <v>44</v>
      </c>
      <c r="K42" t="s">
        <v>45</v>
      </c>
      <c r="L42" t="s">
        <v>46</v>
      </c>
      <c r="M42" t="s">
        <v>47</v>
      </c>
      <c r="N42" t="s">
        <v>379</v>
      </c>
      <c r="O42" t="s">
        <v>49</v>
      </c>
      <c r="P42" t="s">
        <v>129</v>
      </c>
      <c r="Q42" t="s">
        <v>380</v>
      </c>
      <c r="R42">
        <v>20.100000000000001</v>
      </c>
      <c r="S42">
        <v>3</v>
      </c>
      <c r="T42">
        <v>0</v>
      </c>
      <c r="U42">
        <v>6.633</v>
      </c>
      <c r="V42">
        <v>13.467000000000002</v>
      </c>
      <c r="W42">
        <v>20.100000000000001</v>
      </c>
      <c r="X42">
        <v>0.22276676319893068</v>
      </c>
    </row>
    <row r="43" spans="1:24" x14ac:dyDescent="0.3">
      <c r="A43" t="s">
        <v>381</v>
      </c>
      <c r="B43" t="s">
        <v>382</v>
      </c>
      <c r="C43" s="1">
        <v>42766</v>
      </c>
      <c r="D43" s="1">
        <v>42771</v>
      </c>
      <c r="E43" t="s">
        <v>26</v>
      </c>
      <c r="F43" t="s">
        <v>383</v>
      </c>
      <c r="G43" t="s">
        <v>384</v>
      </c>
      <c r="H43" t="s">
        <v>29</v>
      </c>
      <c r="I43" t="s">
        <v>30</v>
      </c>
      <c r="J43" t="s">
        <v>385</v>
      </c>
      <c r="K43" t="s">
        <v>225</v>
      </c>
      <c r="L43" t="s">
        <v>386</v>
      </c>
      <c r="M43" t="s">
        <v>99</v>
      </c>
      <c r="N43" t="s">
        <v>387</v>
      </c>
      <c r="O43" t="s">
        <v>49</v>
      </c>
      <c r="P43" t="s">
        <v>79</v>
      </c>
      <c r="Q43" t="s">
        <v>388</v>
      </c>
      <c r="R43">
        <v>12.96</v>
      </c>
      <c r="S43">
        <v>2</v>
      </c>
      <c r="T43">
        <v>0</v>
      </c>
      <c r="U43">
        <v>6.2207999999999997</v>
      </c>
      <c r="V43">
        <v>6.7392000000000012</v>
      </c>
      <c r="W43">
        <v>12.96</v>
      </c>
      <c r="X43">
        <v>0.29677113010446338</v>
      </c>
    </row>
    <row r="44" spans="1:24" x14ac:dyDescent="0.3">
      <c r="A44" t="s">
        <v>389</v>
      </c>
      <c r="B44" t="s">
        <v>390</v>
      </c>
      <c r="C44" s="1">
        <v>43775</v>
      </c>
      <c r="D44" s="1">
        <v>43781</v>
      </c>
      <c r="E44" t="s">
        <v>54</v>
      </c>
      <c r="F44" t="s">
        <v>391</v>
      </c>
      <c r="G44" t="s">
        <v>392</v>
      </c>
      <c r="H44" t="s">
        <v>95</v>
      </c>
      <c r="I44" t="s">
        <v>30</v>
      </c>
      <c r="J44" t="s">
        <v>393</v>
      </c>
      <c r="K44" t="s">
        <v>394</v>
      </c>
      <c r="L44" t="s">
        <v>395</v>
      </c>
      <c r="M44" t="s">
        <v>47</v>
      </c>
      <c r="N44" t="s">
        <v>396</v>
      </c>
      <c r="O44" t="s">
        <v>49</v>
      </c>
      <c r="P44" t="s">
        <v>89</v>
      </c>
      <c r="Q44" t="s">
        <v>397</v>
      </c>
      <c r="R44">
        <v>5.6820000000000004</v>
      </c>
      <c r="S44">
        <v>1</v>
      </c>
      <c r="T44">
        <v>0.7</v>
      </c>
      <c r="U44">
        <v>-3.7879999999999998</v>
      </c>
      <c r="V44">
        <v>9.4700000000000006</v>
      </c>
      <c r="W44">
        <v>1.7046000000000003</v>
      </c>
      <c r="X44">
        <v>0.10559662090813093</v>
      </c>
    </row>
    <row r="45" spans="1:24" x14ac:dyDescent="0.3">
      <c r="A45" t="s">
        <v>398</v>
      </c>
      <c r="B45" t="s">
        <v>399</v>
      </c>
      <c r="C45" s="1">
        <v>43778</v>
      </c>
      <c r="D45" s="1">
        <v>43780</v>
      </c>
      <c r="E45" t="s">
        <v>26</v>
      </c>
      <c r="F45" t="s">
        <v>400</v>
      </c>
      <c r="G45" t="s">
        <v>401</v>
      </c>
      <c r="H45" t="s">
        <v>95</v>
      </c>
      <c r="I45" t="s">
        <v>30</v>
      </c>
      <c r="J45" t="s">
        <v>261</v>
      </c>
      <c r="K45" t="s">
        <v>262</v>
      </c>
      <c r="L45" t="s">
        <v>312</v>
      </c>
      <c r="M45" t="s">
        <v>147</v>
      </c>
      <c r="N45" t="s">
        <v>402</v>
      </c>
      <c r="O45" t="s">
        <v>36</v>
      </c>
      <c r="P45" t="s">
        <v>69</v>
      </c>
      <c r="Q45" t="s">
        <v>403</v>
      </c>
      <c r="R45">
        <v>96.53</v>
      </c>
      <c r="S45">
        <v>7</v>
      </c>
      <c r="T45">
        <v>0</v>
      </c>
      <c r="U45">
        <v>40.5426</v>
      </c>
      <c r="V45">
        <v>55.987400000000001</v>
      </c>
      <c r="W45">
        <v>96.53</v>
      </c>
      <c r="X45">
        <v>0.12502813132954915</v>
      </c>
    </row>
    <row r="46" spans="1:24" x14ac:dyDescent="0.3">
      <c r="A46" t="s">
        <v>404</v>
      </c>
      <c r="B46" t="s">
        <v>405</v>
      </c>
      <c r="C46" s="1">
        <v>43633</v>
      </c>
      <c r="D46" s="1">
        <v>43636</v>
      </c>
      <c r="E46" t="s">
        <v>180</v>
      </c>
      <c r="F46" t="s">
        <v>406</v>
      </c>
      <c r="G46" t="s">
        <v>407</v>
      </c>
      <c r="H46" t="s">
        <v>29</v>
      </c>
      <c r="I46" t="s">
        <v>30</v>
      </c>
      <c r="J46" t="s">
        <v>126</v>
      </c>
      <c r="K46" t="s">
        <v>45</v>
      </c>
      <c r="L46" t="s">
        <v>343</v>
      </c>
      <c r="M46" t="s">
        <v>47</v>
      </c>
      <c r="N46" t="s">
        <v>408</v>
      </c>
      <c r="O46" t="s">
        <v>49</v>
      </c>
      <c r="P46" t="s">
        <v>89</v>
      </c>
      <c r="Q46" t="s">
        <v>409</v>
      </c>
      <c r="R46">
        <v>51.311999999999998</v>
      </c>
      <c r="S46">
        <v>3</v>
      </c>
      <c r="T46">
        <v>0.2</v>
      </c>
      <c r="U46">
        <v>17.959199999999999</v>
      </c>
      <c r="V46">
        <v>33.352800000000002</v>
      </c>
      <c r="W46">
        <v>41.049599999999998</v>
      </c>
      <c r="X46">
        <v>8.9947470677124552E-2</v>
      </c>
    </row>
    <row r="47" spans="1:24" x14ac:dyDescent="0.3">
      <c r="A47" t="s">
        <v>410</v>
      </c>
      <c r="B47" t="s">
        <v>411</v>
      </c>
      <c r="C47" s="1">
        <v>43349</v>
      </c>
      <c r="D47" s="1">
        <v>43354</v>
      </c>
      <c r="E47" t="s">
        <v>54</v>
      </c>
      <c r="F47" t="s">
        <v>412</v>
      </c>
      <c r="G47" t="s">
        <v>413</v>
      </c>
      <c r="H47" t="s">
        <v>43</v>
      </c>
      <c r="I47" t="s">
        <v>30</v>
      </c>
      <c r="J47" t="s">
        <v>414</v>
      </c>
      <c r="K47" t="s">
        <v>225</v>
      </c>
      <c r="L47" t="s">
        <v>415</v>
      </c>
      <c r="M47" t="s">
        <v>99</v>
      </c>
      <c r="N47" t="s">
        <v>416</v>
      </c>
      <c r="O47" t="s">
        <v>49</v>
      </c>
      <c r="P47" t="s">
        <v>101</v>
      </c>
      <c r="Q47" t="s">
        <v>417</v>
      </c>
      <c r="R47">
        <v>77.88</v>
      </c>
      <c r="S47">
        <v>6</v>
      </c>
      <c r="T47">
        <v>0</v>
      </c>
      <c r="U47">
        <v>22.5852</v>
      </c>
      <c r="V47">
        <v>55.294799999999995</v>
      </c>
      <c r="W47">
        <v>77.88</v>
      </c>
      <c r="X47">
        <v>0.10850929924694547</v>
      </c>
    </row>
    <row r="48" spans="1:24" x14ac:dyDescent="0.3">
      <c r="A48" t="s">
        <v>418</v>
      </c>
      <c r="B48" t="s">
        <v>419</v>
      </c>
      <c r="C48" s="1">
        <v>43341</v>
      </c>
      <c r="D48" s="1">
        <v>43345</v>
      </c>
      <c r="E48" t="s">
        <v>54</v>
      </c>
      <c r="F48" t="s">
        <v>420</v>
      </c>
      <c r="G48" t="s">
        <v>421</v>
      </c>
      <c r="H48" t="s">
        <v>95</v>
      </c>
      <c r="I48" t="s">
        <v>30</v>
      </c>
      <c r="J48" t="s">
        <v>286</v>
      </c>
      <c r="K48" t="s">
        <v>202</v>
      </c>
      <c r="L48" t="s">
        <v>287</v>
      </c>
      <c r="M48" t="s">
        <v>99</v>
      </c>
      <c r="N48" t="s">
        <v>422</v>
      </c>
      <c r="O48" t="s">
        <v>49</v>
      </c>
      <c r="P48" t="s">
        <v>79</v>
      </c>
      <c r="Q48" t="s">
        <v>423</v>
      </c>
      <c r="R48">
        <v>64.623999999999995</v>
      </c>
      <c r="S48">
        <v>7</v>
      </c>
      <c r="T48">
        <v>0.2</v>
      </c>
      <c r="U48">
        <v>22.618400000000001</v>
      </c>
      <c r="V48">
        <v>42.005599999999994</v>
      </c>
      <c r="W48">
        <v>51.699199999999998</v>
      </c>
      <c r="X48">
        <v>0.16664444740701242</v>
      </c>
    </row>
    <row r="49" spans="1:24" x14ac:dyDescent="0.3">
      <c r="A49" t="s">
        <v>424</v>
      </c>
      <c r="B49" t="s">
        <v>425</v>
      </c>
      <c r="C49" s="1">
        <v>43435</v>
      </c>
      <c r="D49" s="1">
        <v>43438</v>
      </c>
      <c r="E49" t="s">
        <v>26</v>
      </c>
      <c r="F49" t="s">
        <v>426</v>
      </c>
      <c r="G49" t="s">
        <v>427</v>
      </c>
      <c r="H49" t="s">
        <v>29</v>
      </c>
      <c r="I49" t="s">
        <v>30</v>
      </c>
      <c r="J49" t="s">
        <v>365</v>
      </c>
      <c r="K49" t="s">
        <v>225</v>
      </c>
      <c r="L49" t="s">
        <v>366</v>
      </c>
      <c r="M49" t="s">
        <v>99</v>
      </c>
      <c r="N49" t="s">
        <v>428</v>
      </c>
      <c r="O49" t="s">
        <v>49</v>
      </c>
      <c r="P49" t="s">
        <v>79</v>
      </c>
      <c r="Q49" t="s">
        <v>429</v>
      </c>
      <c r="R49">
        <v>23.92</v>
      </c>
      <c r="S49">
        <v>4</v>
      </c>
      <c r="T49">
        <v>0</v>
      </c>
      <c r="U49">
        <v>11.720800000000001</v>
      </c>
      <c r="V49">
        <v>12.199200000000001</v>
      </c>
      <c r="W49">
        <v>23.92</v>
      </c>
      <c r="X49">
        <v>0.32789035346580103</v>
      </c>
    </row>
    <row r="50" spans="1:24" x14ac:dyDescent="0.3">
      <c r="A50" t="s">
        <v>430</v>
      </c>
      <c r="B50" t="s">
        <v>431</v>
      </c>
      <c r="C50" s="1">
        <v>43052</v>
      </c>
      <c r="D50" s="1">
        <v>43056</v>
      </c>
      <c r="E50" t="s">
        <v>54</v>
      </c>
      <c r="F50" t="s">
        <v>432</v>
      </c>
      <c r="G50" t="s">
        <v>433</v>
      </c>
      <c r="H50" t="s">
        <v>29</v>
      </c>
      <c r="I50" t="s">
        <v>30</v>
      </c>
      <c r="J50" t="s">
        <v>434</v>
      </c>
      <c r="K50" t="s">
        <v>435</v>
      </c>
      <c r="L50" t="s">
        <v>436</v>
      </c>
      <c r="M50" t="s">
        <v>47</v>
      </c>
      <c r="N50" t="s">
        <v>437</v>
      </c>
      <c r="O50" t="s">
        <v>186</v>
      </c>
      <c r="P50" t="s">
        <v>228</v>
      </c>
      <c r="Q50" t="s">
        <v>438</v>
      </c>
      <c r="R50">
        <v>238.89599999999999</v>
      </c>
      <c r="S50">
        <v>6</v>
      </c>
      <c r="T50">
        <v>0.2</v>
      </c>
      <c r="U50">
        <v>-26.875800000000002</v>
      </c>
      <c r="V50">
        <v>265.77179999999998</v>
      </c>
      <c r="W50">
        <v>191.11680000000001</v>
      </c>
      <c r="X50">
        <v>2.2575758601928422E-2</v>
      </c>
    </row>
    <row r="51" spans="1:24" x14ac:dyDescent="0.3">
      <c r="A51" t="s">
        <v>439</v>
      </c>
      <c r="B51" t="s">
        <v>440</v>
      </c>
      <c r="C51" s="1">
        <v>43792</v>
      </c>
      <c r="D51" s="1">
        <v>43797</v>
      </c>
      <c r="E51" t="s">
        <v>54</v>
      </c>
      <c r="F51" t="s">
        <v>441</v>
      </c>
      <c r="G51" t="s">
        <v>442</v>
      </c>
      <c r="H51" t="s">
        <v>29</v>
      </c>
      <c r="I51" t="s">
        <v>30</v>
      </c>
      <c r="J51" t="s">
        <v>443</v>
      </c>
      <c r="K51" t="s">
        <v>76</v>
      </c>
      <c r="L51" t="s">
        <v>444</v>
      </c>
      <c r="M51" t="s">
        <v>34</v>
      </c>
      <c r="N51" t="s">
        <v>445</v>
      </c>
      <c r="O51" t="s">
        <v>186</v>
      </c>
      <c r="P51" t="s">
        <v>228</v>
      </c>
      <c r="Q51" t="s">
        <v>446</v>
      </c>
      <c r="R51">
        <v>74.111999999999995</v>
      </c>
      <c r="S51">
        <v>8</v>
      </c>
      <c r="T51">
        <v>0.2</v>
      </c>
      <c r="U51">
        <v>17.601600000000001</v>
      </c>
      <c r="V51">
        <v>56.51039999999999</v>
      </c>
      <c r="W51">
        <v>59.2896</v>
      </c>
      <c r="X51">
        <v>0.14156686202893629</v>
      </c>
    </row>
    <row r="52" spans="1:24" x14ac:dyDescent="0.3">
      <c r="A52" t="s">
        <v>447</v>
      </c>
      <c r="B52" t="s">
        <v>448</v>
      </c>
      <c r="C52" s="1">
        <v>43023</v>
      </c>
      <c r="D52" s="1">
        <v>43028</v>
      </c>
      <c r="E52" t="s">
        <v>54</v>
      </c>
      <c r="F52" t="s">
        <v>449</v>
      </c>
      <c r="G52" t="s">
        <v>450</v>
      </c>
      <c r="H52" t="s">
        <v>95</v>
      </c>
      <c r="I52" t="s">
        <v>30</v>
      </c>
      <c r="J52" t="s">
        <v>451</v>
      </c>
      <c r="K52" t="s">
        <v>202</v>
      </c>
      <c r="L52" t="s">
        <v>452</v>
      </c>
      <c r="M52" t="s">
        <v>99</v>
      </c>
      <c r="N52" t="s">
        <v>453</v>
      </c>
      <c r="O52" t="s">
        <v>186</v>
      </c>
      <c r="P52" t="s">
        <v>228</v>
      </c>
      <c r="Q52" t="s">
        <v>454</v>
      </c>
      <c r="R52">
        <v>339.96</v>
      </c>
      <c r="S52">
        <v>5</v>
      </c>
      <c r="T52">
        <v>0.2</v>
      </c>
      <c r="U52">
        <v>67.992000000000004</v>
      </c>
      <c r="V52">
        <v>271.96799999999996</v>
      </c>
      <c r="W52">
        <v>271.96800000000002</v>
      </c>
      <c r="X52">
        <v>1.8384515825391225E-2</v>
      </c>
    </row>
    <row r="53" spans="1:24" x14ac:dyDescent="0.3">
      <c r="A53" t="s">
        <v>455</v>
      </c>
      <c r="B53" t="s">
        <v>456</v>
      </c>
      <c r="C53" s="1">
        <v>43824</v>
      </c>
      <c r="D53" s="1">
        <v>43829</v>
      </c>
      <c r="E53" t="s">
        <v>54</v>
      </c>
      <c r="F53" t="s">
        <v>457</v>
      </c>
      <c r="G53" t="s">
        <v>458</v>
      </c>
      <c r="H53" t="s">
        <v>43</v>
      </c>
      <c r="I53" t="s">
        <v>30</v>
      </c>
      <c r="J53" t="s">
        <v>261</v>
      </c>
      <c r="K53" t="s">
        <v>262</v>
      </c>
      <c r="L53" t="s">
        <v>459</v>
      </c>
      <c r="M53" t="s">
        <v>147</v>
      </c>
      <c r="N53" t="s">
        <v>460</v>
      </c>
      <c r="O53" t="s">
        <v>36</v>
      </c>
      <c r="P53" t="s">
        <v>69</v>
      </c>
      <c r="Q53" t="s">
        <v>461</v>
      </c>
      <c r="R53">
        <v>41.96</v>
      </c>
      <c r="S53">
        <v>2</v>
      </c>
      <c r="T53">
        <v>0</v>
      </c>
      <c r="U53">
        <v>10.909599999999999</v>
      </c>
      <c r="V53">
        <v>31.050400000000003</v>
      </c>
      <c r="W53">
        <v>41.96</v>
      </c>
      <c r="X53">
        <v>6.4411408548682131E-2</v>
      </c>
    </row>
    <row r="54" spans="1:24" x14ac:dyDescent="0.3">
      <c r="A54" t="s">
        <v>462</v>
      </c>
      <c r="B54" t="s">
        <v>463</v>
      </c>
      <c r="C54" s="1">
        <v>43407</v>
      </c>
      <c r="D54" s="1">
        <v>43414</v>
      </c>
      <c r="E54" t="s">
        <v>54</v>
      </c>
      <c r="F54" t="s">
        <v>464</v>
      </c>
      <c r="G54" t="s">
        <v>465</v>
      </c>
      <c r="H54" t="s">
        <v>29</v>
      </c>
      <c r="I54" t="s">
        <v>30</v>
      </c>
      <c r="J54" t="s">
        <v>466</v>
      </c>
      <c r="K54" t="s">
        <v>467</v>
      </c>
      <c r="L54" t="s">
        <v>468</v>
      </c>
      <c r="M54" t="s">
        <v>99</v>
      </c>
      <c r="N54" t="s">
        <v>469</v>
      </c>
      <c r="O54" t="s">
        <v>49</v>
      </c>
      <c r="P54" t="s">
        <v>129</v>
      </c>
      <c r="Q54" t="s">
        <v>470</v>
      </c>
      <c r="R54">
        <v>75.959999999999994</v>
      </c>
      <c r="S54">
        <v>2</v>
      </c>
      <c r="T54">
        <v>0</v>
      </c>
      <c r="U54">
        <v>22.788</v>
      </c>
      <c r="V54">
        <v>53.171999999999997</v>
      </c>
      <c r="W54">
        <v>75.959999999999994</v>
      </c>
      <c r="X54">
        <v>3.7613781689611075E-2</v>
      </c>
    </row>
    <row r="55" spans="1:24" x14ac:dyDescent="0.3">
      <c r="A55" t="s">
        <v>471</v>
      </c>
      <c r="B55" t="s">
        <v>472</v>
      </c>
      <c r="C55" s="1">
        <v>42607</v>
      </c>
      <c r="D55" s="1">
        <v>42609</v>
      </c>
      <c r="E55" t="s">
        <v>26</v>
      </c>
      <c r="F55" t="s">
        <v>473</v>
      </c>
      <c r="G55" t="s">
        <v>474</v>
      </c>
      <c r="H55" t="s">
        <v>29</v>
      </c>
      <c r="I55" t="s">
        <v>30</v>
      </c>
      <c r="J55" t="s">
        <v>475</v>
      </c>
      <c r="K55" t="s">
        <v>476</v>
      </c>
      <c r="L55" t="s">
        <v>477</v>
      </c>
      <c r="M55" t="s">
        <v>147</v>
      </c>
      <c r="N55" t="s">
        <v>478</v>
      </c>
      <c r="O55" t="s">
        <v>49</v>
      </c>
      <c r="P55" t="s">
        <v>265</v>
      </c>
      <c r="Q55" t="s">
        <v>479</v>
      </c>
      <c r="R55">
        <v>40.095999999999997</v>
      </c>
      <c r="S55">
        <v>14</v>
      </c>
      <c r="T55">
        <v>0.2</v>
      </c>
      <c r="U55">
        <v>14.534800000000001</v>
      </c>
      <c r="V55">
        <v>25.561199999999996</v>
      </c>
      <c r="W55">
        <v>32.076799999999999</v>
      </c>
      <c r="X55">
        <v>0.5477051155657795</v>
      </c>
    </row>
    <row r="56" spans="1:24" x14ac:dyDescent="0.3">
      <c r="A56" t="s">
        <v>480</v>
      </c>
      <c r="B56" t="s">
        <v>481</v>
      </c>
      <c r="C56" s="1">
        <v>42796</v>
      </c>
      <c r="D56" s="1">
        <v>42800</v>
      </c>
      <c r="E56" t="s">
        <v>54</v>
      </c>
      <c r="F56" t="s">
        <v>482</v>
      </c>
      <c r="G56" t="s">
        <v>483</v>
      </c>
      <c r="H56" t="s">
        <v>29</v>
      </c>
      <c r="I56" t="s">
        <v>30</v>
      </c>
      <c r="J56" t="s">
        <v>85</v>
      </c>
      <c r="K56" t="s">
        <v>86</v>
      </c>
      <c r="L56" t="s">
        <v>87</v>
      </c>
      <c r="M56" t="s">
        <v>47</v>
      </c>
      <c r="N56" t="s">
        <v>484</v>
      </c>
      <c r="O56" t="s">
        <v>36</v>
      </c>
      <c r="P56" t="s">
        <v>61</v>
      </c>
      <c r="Q56" t="s">
        <v>485</v>
      </c>
      <c r="R56">
        <v>787.53</v>
      </c>
      <c r="S56">
        <v>3</v>
      </c>
      <c r="T56">
        <v>0</v>
      </c>
      <c r="U56">
        <v>165.38130000000001</v>
      </c>
      <c r="V56">
        <v>622.14869999999996</v>
      </c>
      <c r="W56">
        <v>787.53</v>
      </c>
      <c r="X56">
        <v>4.8219983421969705E-3</v>
      </c>
    </row>
    <row r="57" spans="1:24" x14ac:dyDescent="0.3">
      <c r="A57" t="s">
        <v>486</v>
      </c>
      <c r="B57" t="s">
        <v>487</v>
      </c>
      <c r="C57" s="1">
        <v>42830</v>
      </c>
      <c r="D57" s="1">
        <v>42835</v>
      </c>
      <c r="E57" t="s">
        <v>54</v>
      </c>
      <c r="F57" t="s">
        <v>488</v>
      </c>
      <c r="G57" t="s">
        <v>489</v>
      </c>
      <c r="H57" t="s">
        <v>43</v>
      </c>
      <c r="I57" t="s">
        <v>30</v>
      </c>
      <c r="J57" t="s">
        <v>490</v>
      </c>
      <c r="K57" t="s">
        <v>320</v>
      </c>
      <c r="L57" t="s">
        <v>491</v>
      </c>
      <c r="M57" t="s">
        <v>34</v>
      </c>
      <c r="N57" t="s">
        <v>492</v>
      </c>
      <c r="O57" t="s">
        <v>49</v>
      </c>
      <c r="P57" t="s">
        <v>89</v>
      </c>
      <c r="Q57" t="s">
        <v>493</v>
      </c>
      <c r="R57">
        <v>157.79400000000001</v>
      </c>
      <c r="S57">
        <v>1</v>
      </c>
      <c r="T57">
        <v>0.7</v>
      </c>
      <c r="U57">
        <v>-115.71559999999999</v>
      </c>
      <c r="V57">
        <v>273.50959999999998</v>
      </c>
      <c r="W57">
        <v>47.338200000000008</v>
      </c>
      <c r="X57">
        <v>3.65617879591795E-3</v>
      </c>
    </row>
    <row r="58" spans="1:24" x14ac:dyDescent="0.3">
      <c r="A58" t="s">
        <v>494</v>
      </c>
      <c r="B58" t="s">
        <v>495</v>
      </c>
      <c r="C58" s="1">
        <v>43263</v>
      </c>
      <c r="D58" s="1">
        <v>43266</v>
      </c>
      <c r="E58" t="s">
        <v>180</v>
      </c>
      <c r="F58" t="s">
        <v>496</v>
      </c>
      <c r="G58" t="s">
        <v>497</v>
      </c>
      <c r="H58" t="s">
        <v>29</v>
      </c>
      <c r="I58" t="s">
        <v>30</v>
      </c>
      <c r="J58" t="s">
        <v>498</v>
      </c>
      <c r="K58" t="s">
        <v>244</v>
      </c>
      <c r="L58" t="s">
        <v>499</v>
      </c>
      <c r="M58" t="s">
        <v>147</v>
      </c>
      <c r="N58" t="s">
        <v>500</v>
      </c>
      <c r="O58" t="s">
        <v>36</v>
      </c>
      <c r="P58" t="s">
        <v>69</v>
      </c>
      <c r="Q58" t="s">
        <v>501</v>
      </c>
      <c r="R58">
        <v>47.04</v>
      </c>
      <c r="S58">
        <v>3</v>
      </c>
      <c r="T58">
        <v>0</v>
      </c>
      <c r="U58">
        <v>18.345600000000001</v>
      </c>
      <c r="V58">
        <v>28.694399999999998</v>
      </c>
      <c r="W58">
        <v>47.04</v>
      </c>
      <c r="X58">
        <v>0.10455001672800268</v>
      </c>
    </row>
    <row r="59" spans="1:24" x14ac:dyDescent="0.3">
      <c r="A59" t="s">
        <v>502</v>
      </c>
      <c r="B59" t="s">
        <v>503</v>
      </c>
      <c r="C59" s="1">
        <v>42730</v>
      </c>
      <c r="D59" s="1">
        <v>42732</v>
      </c>
      <c r="E59" t="s">
        <v>26</v>
      </c>
      <c r="F59" t="s">
        <v>504</v>
      </c>
      <c r="G59" t="s">
        <v>505</v>
      </c>
      <c r="H59" t="s">
        <v>95</v>
      </c>
      <c r="I59" t="s">
        <v>30</v>
      </c>
      <c r="J59" t="s">
        <v>174</v>
      </c>
      <c r="K59" t="s">
        <v>97</v>
      </c>
      <c r="L59" t="s">
        <v>193</v>
      </c>
      <c r="M59" t="s">
        <v>99</v>
      </c>
      <c r="N59" t="s">
        <v>506</v>
      </c>
      <c r="O59" t="s">
        <v>36</v>
      </c>
      <c r="P59" t="s">
        <v>149</v>
      </c>
      <c r="Q59" t="s">
        <v>507</v>
      </c>
      <c r="R59">
        <v>600.55799999999999</v>
      </c>
      <c r="S59">
        <v>3</v>
      </c>
      <c r="T59">
        <v>0.3</v>
      </c>
      <c r="U59">
        <v>-8.5793999999999997</v>
      </c>
      <c r="V59">
        <v>609.13739999999996</v>
      </c>
      <c r="W59">
        <v>420.39059999999995</v>
      </c>
      <c r="X59">
        <v>4.9249972173765729E-3</v>
      </c>
    </row>
    <row r="60" spans="1:24" x14ac:dyDescent="0.3">
      <c r="A60" t="s">
        <v>508</v>
      </c>
      <c r="B60" t="s">
        <v>509</v>
      </c>
      <c r="C60" s="1">
        <v>42633</v>
      </c>
      <c r="D60" s="1">
        <v>42638</v>
      </c>
      <c r="E60" t="s">
        <v>54</v>
      </c>
      <c r="F60" t="s">
        <v>510</v>
      </c>
      <c r="G60" t="s">
        <v>511</v>
      </c>
      <c r="H60" t="s">
        <v>29</v>
      </c>
      <c r="I60" t="s">
        <v>30</v>
      </c>
      <c r="J60" t="s">
        <v>512</v>
      </c>
      <c r="K60" t="s">
        <v>202</v>
      </c>
      <c r="L60" t="s">
        <v>513</v>
      </c>
      <c r="M60" t="s">
        <v>99</v>
      </c>
      <c r="N60" t="s">
        <v>514</v>
      </c>
      <c r="O60" t="s">
        <v>36</v>
      </c>
      <c r="P60" t="s">
        <v>61</v>
      </c>
      <c r="Q60" t="s">
        <v>515</v>
      </c>
      <c r="R60">
        <v>617.70000000000005</v>
      </c>
      <c r="S60">
        <v>6</v>
      </c>
      <c r="T60">
        <v>0.5</v>
      </c>
      <c r="U60">
        <v>-407.68200000000002</v>
      </c>
      <c r="V60">
        <v>1025.3820000000001</v>
      </c>
      <c r="W60">
        <v>308.85000000000002</v>
      </c>
      <c r="X60">
        <v>5.8514777907160446E-3</v>
      </c>
    </row>
    <row r="61" spans="1:24" x14ac:dyDescent="0.3">
      <c r="A61" t="s">
        <v>516</v>
      </c>
      <c r="B61" t="s">
        <v>517</v>
      </c>
      <c r="C61" s="1">
        <v>43774</v>
      </c>
      <c r="D61" s="1">
        <v>43781</v>
      </c>
      <c r="E61" t="s">
        <v>54</v>
      </c>
      <c r="F61" t="s">
        <v>518</v>
      </c>
      <c r="G61" t="s">
        <v>519</v>
      </c>
      <c r="H61" t="s">
        <v>29</v>
      </c>
      <c r="I61" t="s">
        <v>30</v>
      </c>
      <c r="J61" t="s">
        <v>520</v>
      </c>
      <c r="K61" t="s">
        <v>295</v>
      </c>
      <c r="L61" t="s">
        <v>521</v>
      </c>
      <c r="M61" t="s">
        <v>47</v>
      </c>
      <c r="N61" t="s">
        <v>522</v>
      </c>
      <c r="O61" t="s">
        <v>49</v>
      </c>
      <c r="P61" t="s">
        <v>89</v>
      </c>
      <c r="Q61" t="s">
        <v>523</v>
      </c>
      <c r="R61">
        <v>2.3879999999999999</v>
      </c>
      <c r="S61">
        <v>2</v>
      </c>
      <c r="T61">
        <v>0.7</v>
      </c>
      <c r="U61">
        <v>-1.8308</v>
      </c>
      <c r="V61">
        <v>4.2187999999999999</v>
      </c>
      <c r="W61">
        <v>0.71640000000000004</v>
      </c>
      <c r="X61">
        <v>0.47406845548497206</v>
      </c>
    </row>
    <row r="62" spans="1:24" x14ac:dyDescent="0.3">
      <c r="A62" t="s">
        <v>524</v>
      </c>
      <c r="B62" t="s">
        <v>525</v>
      </c>
      <c r="C62" s="1">
        <v>43410</v>
      </c>
      <c r="D62" s="1">
        <v>43414</v>
      </c>
      <c r="E62" t="s">
        <v>26</v>
      </c>
      <c r="F62" t="s">
        <v>526</v>
      </c>
      <c r="G62" t="s">
        <v>527</v>
      </c>
      <c r="H62" t="s">
        <v>95</v>
      </c>
      <c r="I62" t="s">
        <v>30</v>
      </c>
      <c r="J62" t="s">
        <v>44</v>
      </c>
      <c r="K62" t="s">
        <v>45</v>
      </c>
      <c r="L62" t="s">
        <v>279</v>
      </c>
      <c r="M62" t="s">
        <v>47</v>
      </c>
      <c r="N62" t="s">
        <v>288</v>
      </c>
      <c r="O62" t="s">
        <v>36</v>
      </c>
      <c r="P62" t="s">
        <v>149</v>
      </c>
      <c r="Q62" t="s">
        <v>528</v>
      </c>
      <c r="R62">
        <v>81.424000000000007</v>
      </c>
      <c r="S62">
        <v>2</v>
      </c>
      <c r="T62">
        <v>0.2</v>
      </c>
      <c r="U62">
        <v>-9.1601999999999997</v>
      </c>
      <c r="V62">
        <v>90.58420000000001</v>
      </c>
      <c r="W62">
        <v>65.139200000000002</v>
      </c>
      <c r="X62">
        <v>2.2078905592807573E-2</v>
      </c>
    </row>
    <row r="63" spans="1:24" x14ac:dyDescent="0.3">
      <c r="A63" t="s">
        <v>529</v>
      </c>
      <c r="B63" t="s">
        <v>530</v>
      </c>
      <c r="C63" s="1">
        <v>43498</v>
      </c>
      <c r="D63" s="1">
        <v>43501</v>
      </c>
      <c r="E63" t="s">
        <v>180</v>
      </c>
      <c r="F63" t="s">
        <v>531</v>
      </c>
      <c r="G63" t="s">
        <v>532</v>
      </c>
      <c r="H63" t="s">
        <v>43</v>
      </c>
      <c r="I63" t="s">
        <v>30</v>
      </c>
      <c r="J63" t="s">
        <v>475</v>
      </c>
      <c r="K63" t="s">
        <v>476</v>
      </c>
      <c r="L63" t="s">
        <v>477</v>
      </c>
      <c r="M63" t="s">
        <v>147</v>
      </c>
      <c r="N63" t="s">
        <v>533</v>
      </c>
      <c r="O63" t="s">
        <v>186</v>
      </c>
      <c r="P63" t="s">
        <v>187</v>
      </c>
      <c r="Q63" t="s">
        <v>534</v>
      </c>
      <c r="R63">
        <v>59.97</v>
      </c>
      <c r="S63">
        <v>5</v>
      </c>
      <c r="T63">
        <v>0.4</v>
      </c>
      <c r="U63">
        <v>-11.994</v>
      </c>
      <c r="V63">
        <v>71.963999999999999</v>
      </c>
      <c r="W63">
        <v>35.981999999999999</v>
      </c>
      <c r="X63">
        <v>6.9479184036462679E-2</v>
      </c>
    </row>
    <row r="64" spans="1:24" x14ac:dyDescent="0.3">
      <c r="A64" t="s">
        <v>535</v>
      </c>
      <c r="B64" t="s">
        <v>536</v>
      </c>
      <c r="C64" s="1">
        <v>43386</v>
      </c>
      <c r="D64" s="1">
        <v>43392</v>
      </c>
      <c r="E64" t="s">
        <v>54</v>
      </c>
      <c r="F64" t="s">
        <v>537</v>
      </c>
      <c r="G64" t="s">
        <v>538</v>
      </c>
      <c r="H64" t="s">
        <v>29</v>
      </c>
      <c r="I64" t="s">
        <v>30</v>
      </c>
      <c r="J64" t="s">
        <v>539</v>
      </c>
      <c r="K64" t="s">
        <v>45</v>
      </c>
      <c r="L64" t="s">
        <v>540</v>
      </c>
      <c r="M64" t="s">
        <v>47</v>
      </c>
      <c r="N64" t="s">
        <v>541</v>
      </c>
      <c r="O64" t="s">
        <v>49</v>
      </c>
      <c r="P64" t="s">
        <v>79</v>
      </c>
      <c r="Q64" t="s">
        <v>542</v>
      </c>
      <c r="R64">
        <v>20.04</v>
      </c>
      <c r="S64">
        <v>3</v>
      </c>
      <c r="T64">
        <v>0</v>
      </c>
      <c r="U64">
        <v>9.6191999999999993</v>
      </c>
      <c r="V64">
        <v>10.4208</v>
      </c>
      <c r="W64">
        <v>20.04</v>
      </c>
      <c r="X64">
        <v>0.28788576692768308</v>
      </c>
    </row>
    <row r="65" spans="1:24" x14ac:dyDescent="0.3">
      <c r="A65" t="s">
        <v>543</v>
      </c>
      <c r="B65" t="s">
        <v>544</v>
      </c>
      <c r="C65" s="1">
        <v>43348</v>
      </c>
      <c r="D65" s="1">
        <v>43350</v>
      </c>
      <c r="E65" t="s">
        <v>26</v>
      </c>
      <c r="F65" t="s">
        <v>545</v>
      </c>
      <c r="G65" t="s">
        <v>546</v>
      </c>
      <c r="H65" t="s">
        <v>43</v>
      </c>
      <c r="I65" t="s">
        <v>30</v>
      </c>
      <c r="J65" t="s">
        <v>144</v>
      </c>
      <c r="K65" t="s">
        <v>145</v>
      </c>
      <c r="L65" t="s">
        <v>146</v>
      </c>
      <c r="M65" t="s">
        <v>147</v>
      </c>
      <c r="N65" t="s">
        <v>547</v>
      </c>
      <c r="O65" t="s">
        <v>36</v>
      </c>
      <c r="P65" t="s">
        <v>69</v>
      </c>
      <c r="Q65" t="s">
        <v>548</v>
      </c>
      <c r="R65">
        <v>82.8</v>
      </c>
      <c r="S65">
        <v>2</v>
      </c>
      <c r="T65">
        <v>0.2</v>
      </c>
      <c r="U65">
        <v>10.35</v>
      </c>
      <c r="V65">
        <v>72.45</v>
      </c>
      <c r="W65">
        <v>66.239999999999995</v>
      </c>
      <c r="X65">
        <v>2.7605244996549344E-2</v>
      </c>
    </row>
    <row r="66" spans="1:24" x14ac:dyDescent="0.3">
      <c r="A66" t="s">
        <v>549</v>
      </c>
      <c r="B66" t="s">
        <v>550</v>
      </c>
      <c r="C66" s="1">
        <v>43726</v>
      </c>
      <c r="D66" s="1">
        <v>43731</v>
      </c>
      <c r="E66" t="s">
        <v>54</v>
      </c>
      <c r="F66" t="s">
        <v>551</v>
      </c>
      <c r="G66" t="s">
        <v>552</v>
      </c>
      <c r="H66" t="s">
        <v>43</v>
      </c>
      <c r="I66" t="s">
        <v>30</v>
      </c>
      <c r="J66" t="s">
        <v>126</v>
      </c>
      <c r="K66" t="s">
        <v>45</v>
      </c>
      <c r="L66" t="s">
        <v>343</v>
      </c>
      <c r="M66" t="s">
        <v>47</v>
      </c>
      <c r="N66" t="s">
        <v>553</v>
      </c>
      <c r="O66" t="s">
        <v>49</v>
      </c>
      <c r="P66" t="s">
        <v>129</v>
      </c>
      <c r="Q66" t="s">
        <v>554</v>
      </c>
      <c r="R66">
        <v>8.82</v>
      </c>
      <c r="S66">
        <v>3</v>
      </c>
      <c r="T66">
        <v>0</v>
      </c>
      <c r="U66">
        <v>2.3814000000000002</v>
      </c>
      <c r="V66">
        <v>6.4386000000000001</v>
      </c>
      <c r="W66">
        <v>8.82</v>
      </c>
      <c r="X66">
        <v>0.46593980057776535</v>
      </c>
    </row>
    <row r="67" spans="1:24" x14ac:dyDescent="0.3">
      <c r="A67" t="s">
        <v>555</v>
      </c>
      <c r="B67" t="s">
        <v>556</v>
      </c>
      <c r="C67" s="1">
        <v>43821</v>
      </c>
      <c r="D67" s="1">
        <v>43826</v>
      </c>
      <c r="E67" t="s">
        <v>54</v>
      </c>
      <c r="F67" t="s">
        <v>557</v>
      </c>
      <c r="G67" t="s">
        <v>558</v>
      </c>
      <c r="H67" t="s">
        <v>29</v>
      </c>
      <c r="I67" t="s">
        <v>30</v>
      </c>
      <c r="J67" t="s">
        <v>559</v>
      </c>
      <c r="K67" t="s">
        <v>560</v>
      </c>
      <c r="L67" t="s">
        <v>561</v>
      </c>
      <c r="M67" t="s">
        <v>99</v>
      </c>
      <c r="N67" t="s">
        <v>562</v>
      </c>
      <c r="O67" t="s">
        <v>49</v>
      </c>
      <c r="P67" t="s">
        <v>101</v>
      </c>
      <c r="Q67" t="s">
        <v>563</v>
      </c>
      <c r="R67">
        <v>839.43</v>
      </c>
      <c r="S67">
        <v>3</v>
      </c>
      <c r="T67">
        <v>0</v>
      </c>
      <c r="U67">
        <v>218.2518</v>
      </c>
      <c r="V67">
        <v>621.17819999999995</v>
      </c>
      <c r="W67">
        <v>839.43</v>
      </c>
      <c r="X67">
        <v>4.8295320086892942E-3</v>
      </c>
    </row>
    <row r="68" spans="1:24" x14ac:dyDescent="0.3">
      <c r="A68" t="s">
        <v>564</v>
      </c>
      <c r="B68" t="s">
        <v>565</v>
      </c>
      <c r="C68" s="1">
        <v>42985</v>
      </c>
      <c r="D68" s="1">
        <v>42990</v>
      </c>
      <c r="E68" t="s">
        <v>54</v>
      </c>
      <c r="F68" t="s">
        <v>566</v>
      </c>
      <c r="G68" t="s">
        <v>567</v>
      </c>
      <c r="H68" t="s">
        <v>29</v>
      </c>
      <c r="I68" t="s">
        <v>30</v>
      </c>
      <c r="J68" t="s">
        <v>568</v>
      </c>
      <c r="K68" t="s">
        <v>45</v>
      </c>
      <c r="L68" t="s">
        <v>569</v>
      </c>
      <c r="M68" t="s">
        <v>47</v>
      </c>
      <c r="N68" t="s">
        <v>359</v>
      </c>
      <c r="O68" t="s">
        <v>49</v>
      </c>
      <c r="P68" t="s">
        <v>111</v>
      </c>
      <c r="Q68" t="s">
        <v>360</v>
      </c>
      <c r="R68">
        <v>671.93</v>
      </c>
      <c r="S68">
        <v>7</v>
      </c>
      <c r="T68">
        <v>0</v>
      </c>
      <c r="U68">
        <v>20.157900000000001</v>
      </c>
      <c r="V68">
        <v>651.77209999999991</v>
      </c>
      <c r="W68">
        <v>671.93</v>
      </c>
      <c r="X68">
        <v>1.0739950359949438E-2</v>
      </c>
    </row>
    <row r="69" spans="1:24" x14ac:dyDescent="0.3">
      <c r="A69" t="s">
        <v>570</v>
      </c>
      <c r="B69" t="s">
        <v>571</v>
      </c>
      <c r="C69" s="1">
        <v>42665</v>
      </c>
      <c r="D69" s="1">
        <v>42671</v>
      </c>
      <c r="E69" t="s">
        <v>54</v>
      </c>
      <c r="F69" t="s">
        <v>572</v>
      </c>
      <c r="G69" t="s">
        <v>573</v>
      </c>
      <c r="H69" t="s">
        <v>95</v>
      </c>
      <c r="I69" t="s">
        <v>30</v>
      </c>
      <c r="J69" t="s">
        <v>574</v>
      </c>
      <c r="K69" t="s">
        <v>476</v>
      </c>
      <c r="L69" t="s">
        <v>575</v>
      </c>
      <c r="M69" t="s">
        <v>147</v>
      </c>
      <c r="N69" t="s">
        <v>576</v>
      </c>
      <c r="O69" t="s">
        <v>36</v>
      </c>
      <c r="P69" t="s">
        <v>69</v>
      </c>
      <c r="Q69" t="s">
        <v>577</v>
      </c>
      <c r="R69">
        <v>93.888000000000005</v>
      </c>
      <c r="S69">
        <v>4</v>
      </c>
      <c r="T69">
        <v>0.2</v>
      </c>
      <c r="U69">
        <v>12.909599999999999</v>
      </c>
      <c r="V69">
        <v>80.978400000000008</v>
      </c>
      <c r="W69">
        <v>75.110400000000013</v>
      </c>
      <c r="X69">
        <v>4.939588828625905E-2</v>
      </c>
    </row>
    <row r="70" spans="1:24" x14ac:dyDescent="0.3">
      <c r="A70" t="s">
        <v>578</v>
      </c>
      <c r="B70" t="s">
        <v>579</v>
      </c>
      <c r="C70" s="1">
        <v>43439</v>
      </c>
      <c r="D70" s="1">
        <v>43443</v>
      </c>
      <c r="E70" t="s">
        <v>54</v>
      </c>
      <c r="F70" t="s">
        <v>580</v>
      </c>
      <c r="G70" t="s">
        <v>581</v>
      </c>
      <c r="H70" t="s">
        <v>43</v>
      </c>
      <c r="I70" t="s">
        <v>30</v>
      </c>
      <c r="J70" t="s">
        <v>582</v>
      </c>
      <c r="K70" t="s">
        <v>108</v>
      </c>
      <c r="L70" t="s">
        <v>583</v>
      </c>
      <c r="M70" t="s">
        <v>99</v>
      </c>
      <c r="N70" t="s">
        <v>584</v>
      </c>
      <c r="O70" t="s">
        <v>186</v>
      </c>
      <c r="P70" t="s">
        <v>187</v>
      </c>
      <c r="Q70" t="s">
        <v>585</v>
      </c>
      <c r="R70">
        <v>384.45</v>
      </c>
      <c r="S70">
        <v>11</v>
      </c>
      <c r="T70">
        <v>0</v>
      </c>
      <c r="U70">
        <v>103.8015</v>
      </c>
      <c r="V70">
        <v>280.64850000000001</v>
      </c>
      <c r="W70">
        <v>384.45</v>
      </c>
      <c r="X70">
        <v>3.9194936014266955E-2</v>
      </c>
    </row>
    <row r="71" spans="1:24" x14ac:dyDescent="0.3">
      <c r="A71" t="s">
        <v>586</v>
      </c>
      <c r="B71" t="s">
        <v>587</v>
      </c>
      <c r="C71" s="1">
        <v>43172</v>
      </c>
      <c r="D71" s="1">
        <v>43175</v>
      </c>
      <c r="E71" t="s">
        <v>180</v>
      </c>
      <c r="F71" t="s">
        <v>588</v>
      </c>
      <c r="G71" t="s">
        <v>589</v>
      </c>
      <c r="H71" t="s">
        <v>95</v>
      </c>
      <c r="I71" t="s">
        <v>30</v>
      </c>
      <c r="J71" t="s">
        <v>590</v>
      </c>
      <c r="K71" t="s">
        <v>295</v>
      </c>
      <c r="L71" t="s">
        <v>591</v>
      </c>
      <c r="M71" t="s">
        <v>47</v>
      </c>
      <c r="N71" t="s">
        <v>592</v>
      </c>
      <c r="O71" t="s">
        <v>49</v>
      </c>
      <c r="P71" t="s">
        <v>101</v>
      </c>
      <c r="Q71" t="s">
        <v>593</v>
      </c>
      <c r="R71">
        <v>157.91999999999999</v>
      </c>
      <c r="S71">
        <v>5</v>
      </c>
      <c r="T71">
        <v>0.2</v>
      </c>
      <c r="U71">
        <v>17.765999999999998</v>
      </c>
      <c r="V71">
        <v>140.154</v>
      </c>
      <c r="W71">
        <v>126.336</v>
      </c>
      <c r="X71">
        <v>3.5675043166802235E-2</v>
      </c>
    </row>
    <row r="72" spans="1:24" x14ac:dyDescent="0.3">
      <c r="A72" t="s">
        <v>594</v>
      </c>
      <c r="B72" t="s">
        <v>595</v>
      </c>
      <c r="C72" s="1">
        <v>42886</v>
      </c>
      <c r="D72" s="1">
        <v>42888</v>
      </c>
      <c r="E72" t="s">
        <v>180</v>
      </c>
      <c r="F72" t="s">
        <v>596</v>
      </c>
      <c r="G72" t="s">
        <v>597</v>
      </c>
      <c r="H72" t="s">
        <v>43</v>
      </c>
      <c r="I72" t="s">
        <v>30</v>
      </c>
      <c r="J72" t="s">
        <v>598</v>
      </c>
      <c r="K72" t="s">
        <v>45</v>
      </c>
      <c r="L72" t="s">
        <v>599</v>
      </c>
      <c r="M72" t="s">
        <v>47</v>
      </c>
      <c r="N72" t="s">
        <v>600</v>
      </c>
      <c r="O72" t="s">
        <v>49</v>
      </c>
      <c r="P72" t="s">
        <v>79</v>
      </c>
      <c r="Q72" t="s">
        <v>601</v>
      </c>
      <c r="R72">
        <v>58.38</v>
      </c>
      <c r="S72">
        <v>7</v>
      </c>
      <c r="T72">
        <v>0</v>
      </c>
      <c r="U72">
        <v>26.271000000000001</v>
      </c>
      <c r="V72">
        <v>32.109000000000002</v>
      </c>
      <c r="W72">
        <v>58.38</v>
      </c>
      <c r="X72">
        <v>0.21800741225201656</v>
      </c>
    </row>
    <row r="73" spans="1:24" x14ac:dyDescent="0.3">
      <c r="A73" t="s">
        <v>602</v>
      </c>
      <c r="B73" t="s">
        <v>603</v>
      </c>
      <c r="C73" s="1">
        <v>42883</v>
      </c>
      <c r="D73" s="1">
        <v>42889</v>
      </c>
      <c r="E73" t="s">
        <v>54</v>
      </c>
      <c r="F73" t="s">
        <v>604</v>
      </c>
      <c r="G73" t="s">
        <v>605</v>
      </c>
      <c r="H73" t="s">
        <v>95</v>
      </c>
      <c r="I73" t="s">
        <v>30</v>
      </c>
      <c r="J73" t="s">
        <v>85</v>
      </c>
      <c r="K73" t="s">
        <v>86</v>
      </c>
      <c r="L73" t="s">
        <v>606</v>
      </c>
      <c r="M73" t="s">
        <v>47</v>
      </c>
      <c r="N73" t="s">
        <v>607</v>
      </c>
      <c r="O73" t="s">
        <v>49</v>
      </c>
      <c r="P73" t="s">
        <v>129</v>
      </c>
      <c r="Q73" t="s">
        <v>608</v>
      </c>
      <c r="R73">
        <v>6.63</v>
      </c>
      <c r="S73">
        <v>3</v>
      </c>
      <c r="T73">
        <v>0</v>
      </c>
      <c r="U73">
        <v>1.7901</v>
      </c>
      <c r="V73">
        <v>4.8399000000000001</v>
      </c>
      <c r="W73">
        <v>6.63</v>
      </c>
      <c r="X73">
        <v>0.61984751751069234</v>
      </c>
    </row>
    <row r="74" spans="1:24" x14ac:dyDescent="0.3">
      <c r="A74" t="s">
        <v>609</v>
      </c>
      <c r="B74" t="s">
        <v>610</v>
      </c>
      <c r="C74" s="1">
        <v>42430</v>
      </c>
      <c r="D74" s="1">
        <v>42435</v>
      </c>
      <c r="E74" t="s">
        <v>26</v>
      </c>
      <c r="F74" t="s">
        <v>611</v>
      </c>
      <c r="G74" t="s">
        <v>612</v>
      </c>
      <c r="H74" t="s">
        <v>29</v>
      </c>
      <c r="I74" t="s">
        <v>30</v>
      </c>
      <c r="J74" t="s">
        <v>85</v>
      </c>
      <c r="K74" t="s">
        <v>86</v>
      </c>
      <c r="L74" t="s">
        <v>613</v>
      </c>
      <c r="M74" t="s">
        <v>47</v>
      </c>
      <c r="N74" t="s">
        <v>506</v>
      </c>
      <c r="O74" t="s">
        <v>36</v>
      </c>
      <c r="P74" t="s">
        <v>149</v>
      </c>
      <c r="Q74" t="s">
        <v>507</v>
      </c>
      <c r="R74">
        <v>457.56799999999998</v>
      </c>
      <c r="S74">
        <v>2</v>
      </c>
      <c r="T74">
        <v>0.2</v>
      </c>
      <c r="U74">
        <v>51.476399999999998</v>
      </c>
      <c r="V74">
        <v>406.09159999999997</v>
      </c>
      <c r="W74">
        <v>366.05439999999999</v>
      </c>
      <c r="X74">
        <v>4.9249972173765729E-3</v>
      </c>
    </row>
    <row r="75" spans="1:24" x14ac:dyDescent="0.3">
      <c r="A75" t="s">
        <v>614</v>
      </c>
      <c r="B75" t="s">
        <v>615</v>
      </c>
      <c r="C75" s="1">
        <v>43424</v>
      </c>
      <c r="D75" s="1">
        <v>43428</v>
      </c>
      <c r="E75" t="s">
        <v>54</v>
      </c>
      <c r="F75" t="s">
        <v>616</v>
      </c>
      <c r="G75" t="s">
        <v>617</v>
      </c>
      <c r="H75" t="s">
        <v>29</v>
      </c>
      <c r="I75" t="s">
        <v>30</v>
      </c>
      <c r="J75" t="s">
        <v>618</v>
      </c>
      <c r="K75" t="s">
        <v>619</v>
      </c>
      <c r="L75" t="s">
        <v>620</v>
      </c>
      <c r="M75" t="s">
        <v>99</v>
      </c>
      <c r="N75" t="s">
        <v>621</v>
      </c>
      <c r="O75" t="s">
        <v>49</v>
      </c>
      <c r="P75" t="s">
        <v>50</v>
      </c>
      <c r="Q75" t="s">
        <v>622</v>
      </c>
      <c r="R75">
        <v>14.62</v>
      </c>
      <c r="S75">
        <v>2</v>
      </c>
      <c r="T75">
        <v>0</v>
      </c>
      <c r="U75">
        <v>6.8714000000000004</v>
      </c>
      <c r="V75">
        <v>7.7485999999999988</v>
      </c>
      <c r="W75">
        <v>14.62</v>
      </c>
      <c r="X75">
        <v>0.25811114265802859</v>
      </c>
    </row>
    <row r="76" spans="1:24" x14ac:dyDescent="0.3">
      <c r="A76" t="s">
        <v>623</v>
      </c>
      <c r="B76" t="s">
        <v>624</v>
      </c>
      <c r="C76" s="1">
        <v>43231</v>
      </c>
      <c r="D76" s="1">
        <v>43232</v>
      </c>
      <c r="E76" t="s">
        <v>180</v>
      </c>
      <c r="F76" t="s">
        <v>625</v>
      </c>
      <c r="G76" t="s">
        <v>626</v>
      </c>
      <c r="H76" t="s">
        <v>29</v>
      </c>
      <c r="I76" t="s">
        <v>30</v>
      </c>
      <c r="J76" t="s">
        <v>44</v>
      </c>
      <c r="K76" t="s">
        <v>45</v>
      </c>
      <c r="L76" t="s">
        <v>627</v>
      </c>
      <c r="M76" t="s">
        <v>47</v>
      </c>
      <c r="N76" t="s">
        <v>628</v>
      </c>
      <c r="O76" t="s">
        <v>49</v>
      </c>
      <c r="P76" t="s">
        <v>79</v>
      </c>
      <c r="Q76" t="s">
        <v>629</v>
      </c>
      <c r="R76">
        <v>5.98</v>
      </c>
      <c r="S76">
        <v>1</v>
      </c>
      <c r="T76">
        <v>0</v>
      </c>
      <c r="U76">
        <v>2.6909999999999998</v>
      </c>
      <c r="V76">
        <v>3.2890000000000006</v>
      </c>
      <c r="W76">
        <v>5.98</v>
      </c>
      <c r="X76">
        <v>0.30404378230465179</v>
      </c>
    </row>
    <row r="77" spans="1:24" x14ac:dyDescent="0.3">
      <c r="A77" t="s">
        <v>630</v>
      </c>
      <c r="B77" t="s">
        <v>631</v>
      </c>
      <c r="C77" s="1">
        <v>43097</v>
      </c>
      <c r="D77" s="1">
        <v>43100</v>
      </c>
      <c r="E77" t="s">
        <v>26</v>
      </c>
      <c r="F77" t="s">
        <v>632</v>
      </c>
      <c r="G77" t="s">
        <v>633</v>
      </c>
      <c r="H77" t="s">
        <v>29</v>
      </c>
      <c r="I77" t="s">
        <v>30</v>
      </c>
      <c r="J77" t="s">
        <v>144</v>
      </c>
      <c r="K77" t="s">
        <v>145</v>
      </c>
      <c r="L77" t="s">
        <v>634</v>
      </c>
      <c r="M77" t="s">
        <v>147</v>
      </c>
      <c r="N77" t="s">
        <v>635</v>
      </c>
      <c r="O77" t="s">
        <v>186</v>
      </c>
      <c r="P77" t="s">
        <v>228</v>
      </c>
      <c r="Q77" t="s">
        <v>636</v>
      </c>
      <c r="R77">
        <v>54.384</v>
      </c>
      <c r="S77">
        <v>2</v>
      </c>
      <c r="T77">
        <v>0.2</v>
      </c>
      <c r="U77">
        <v>1.3595999999999999</v>
      </c>
      <c r="V77">
        <v>53.0244</v>
      </c>
      <c r="W77">
        <v>43.507200000000005</v>
      </c>
      <c r="X77">
        <v>3.7718484320426071E-2</v>
      </c>
    </row>
    <row r="78" spans="1:24" x14ac:dyDescent="0.3">
      <c r="A78" t="s">
        <v>637</v>
      </c>
      <c r="B78" t="s">
        <v>638</v>
      </c>
      <c r="C78" s="1">
        <v>43420</v>
      </c>
      <c r="D78" s="1">
        <v>43424</v>
      </c>
      <c r="E78" t="s">
        <v>54</v>
      </c>
      <c r="F78" t="s">
        <v>639</v>
      </c>
      <c r="G78" t="s">
        <v>640</v>
      </c>
      <c r="H78" t="s">
        <v>29</v>
      </c>
      <c r="I78" t="s">
        <v>30</v>
      </c>
      <c r="J78" t="s">
        <v>641</v>
      </c>
      <c r="K78" t="s">
        <v>642</v>
      </c>
      <c r="L78" t="s">
        <v>643</v>
      </c>
      <c r="M78" t="s">
        <v>47</v>
      </c>
      <c r="N78" t="s">
        <v>644</v>
      </c>
      <c r="O78" t="s">
        <v>49</v>
      </c>
      <c r="P78" t="s">
        <v>195</v>
      </c>
      <c r="Q78" t="s">
        <v>645</v>
      </c>
      <c r="R78">
        <v>28.4</v>
      </c>
      <c r="S78">
        <v>5</v>
      </c>
      <c r="T78">
        <v>0</v>
      </c>
      <c r="U78">
        <v>13.348000000000001</v>
      </c>
      <c r="V78">
        <v>15.051999999999998</v>
      </c>
      <c r="W78">
        <v>28.4</v>
      </c>
      <c r="X78">
        <v>0.3321817698644699</v>
      </c>
    </row>
    <row r="79" spans="1:24" x14ac:dyDescent="0.3">
      <c r="A79" t="s">
        <v>646</v>
      </c>
      <c r="B79" t="s">
        <v>647</v>
      </c>
      <c r="C79" s="1">
        <v>43411</v>
      </c>
      <c r="D79" s="1">
        <v>43415</v>
      </c>
      <c r="E79" t="s">
        <v>54</v>
      </c>
      <c r="F79" t="s">
        <v>648</v>
      </c>
      <c r="G79" t="s">
        <v>649</v>
      </c>
      <c r="H79" t="s">
        <v>29</v>
      </c>
      <c r="I79" t="s">
        <v>30</v>
      </c>
      <c r="J79" t="s">
        <v>85</v>
      </c>
      <c r="K79" t="s">
        <v>86</v>
      </c>
      <c r="L79" t="s">
        <v>613</v>
      </c>
      <c r="M79" t="s">
        <v>47</v>
      </c>
      <c r="N79" t="s">
        <v>650</v>
      </c>
      <c r="O79" t="s">
        <v>49</v>
      </c>
      <c r="P79" t="s">
        <v>89</v>
      </c>
      <c r="Q79" t="s">
        <v>651</v>
      </c>
      <c r="R79">
        <v>27.68</v>
      </c>
      <c r="S79">
        <v>2</v>
      </c>
      <c r="T79">
        <v>0.2</v>
      </c>
      <c r="U79">
        <v>9.6880000000000006</v>
      </c>
      <c r="V79">
        <v>17.991999999999997</v>
      </c>
      <c r="W79">
        <v>22.144000000000002</v>
      </c>
      <c r="X79">
        <v>0.11116051578479326</v>
      </c>
    </row>
    <row r="80" spans="1:24" x14ac:dyDescent="0.3">
      <c r="A80" t="s">
        <v>652</v>
      </c>
      <c r="B80" t="s">
        <v>653</v>
      </c>
      <c r="C80" s="1">
        <v>42621</v>
      </c>
      <c r="D80" s="1">
        <v>42625</v>
      </c>
      <c r="E80" t="s">
        <v>54</v>
      </c>
      <c r="F80" t="s">
        <v>654</v>
      </c>
      <c r="G80" t="s">
        <v>655</v>
      </c>
      <c r="H80" t="s">
        <v>29</v>
      </c>
      <c r="I80" t="s">
        <v>30</v>
      </c>
      <c r="J80" t="s">
        <v>656</v>
      </c>
      <c r="K80" t="s">
        <v>97</v>
      </c>
      <c r="L80" t="s">
        <v>657</v>
      </c>
      <c r="M80" t="s">
        <v>99</v>
      </c>
      <c r="N80" t="s">
        <v>658</v>
      </c>
      <c r="O80" t="s">
        <v>49</v>
      </c>
      <c r="P80" t="s">
        <v>129</v>
      </c>
      <c r="Q80" t="s">
        <v>659</v>
      </c>
      <c r="R80">
        <v>9.9359999999999999</v>
      </c>
      <c r="S80">
        <v>3</v>
      </c>
      <c r="T80">
        <v>0.2</v>
      </c>
      <c r="U80">
        <v>2.7324000000000002</v>
      </c>
      <c r="V80">
        <v>7.2035999999999998</v>
      </c>
      <c r="W80">
        <v>7.9488000000000003</v>
      </c>
      <c r="X80">
        <v>0.4164584374479427</v>
      </c>
    </row>
    <row r="81" spans="1:24" x14ac:dyDescent="0.3">
      <c r="A81" t="s">
        <v>660</v>
      </c>
      <c r="B81" t="s">
        <v>661</v>
      </c>
      <c r="C81" s="1">
        <v>42587</v>
      </c>
      <c r="D81" s="1">
        <v>42591</v>
      </c>
      <c r="E81" t="s">
        <v>54</v>
      </c>
      <c r="F81" t="s">
        <v>662</v>
      </c>
      <c r="G81" t="s">
        <v>663</v>
      </c>
      <c r="H81" t="s">
        <v>29</v>
      </c>
      <c r="I81" t="s">
        <v>30</v>
      </c>
      <c r="J81" t="s">
        <v>44</v>
      </c>
      <c r="K81" t="s">
        <v>45</v>
      </c>
      <c r="L81" t="s">
        <v>279</v>
      </c>
      <c r="M81" t="s">
        <v>47</v>
      </c>
      <c r="N81" t="s">
        <v>664</v>
      </c>
      <c r="O81" t="s">
        <v>49</v>
      </c>
      <c r="P81" t="s">
        <v>79</v>
      </c>
      <c r="Q81" t="s">
        <v>665</v>
      </c>
      <c r="R81">
        <v>20.94</v>
      </c>
      <c r="S81">
        <v>3</v>
      </c>
      <c r="T81">
        <v>0</v>
      </c>
      <c r="U81">
        <v>9.8417999999999992</v>
      </c>
      <c r="V81">
        <v>11.098200000000002</v>
      </c>
      <c r="W81">
        <v>20.94</v>
      </c>
      <c r="X81">
        <v>0.27031410498999831</v>
      </c>
    </row>
    <row r="82" spans="1:24" x14ac:dyDescent="0.3">
      <c r="A82" t="s">
        <v>666</v>
      </c>
      <c r="B82" t="s">
        <v>667</v>
      </c>
      <c r="C82" s="1">
        <v>42627</v>
      </c>
      <c r="D82" s="1">
        <v>42632</v>
      </c>
      <c r="E82" t="s">
        <v>54</v>
      </c>
      <c r="F82" t="s">
        <v>668</v>
      </c>
      <c r="G82" t="s">
        <v>669</v>
      </c>
      <c r="H82" t="s">
        <v>43</v>
      </c>
      <c r="I82" t="s">
        <v>30</v>
      </c>
      <c r="J82" t="s">
        <v>286</v>
      </c>
      <c r="K82" t="s">
        <v>202</v>
      </c>
      <c r="L82" t="s">
        <v>358</v>
      </c>
      <c r="M82" t="s">
        <v>99</v>
      </c>
      <c r="N82" t="s">
        <v>670</v>
      </c>
      <c r="O82" t="s">
        <v>49</v>
      </c>
      <c r="P82" t="s">
        <v>101</v>
      </c>
      <c r="Q82" t="s">
        <v>671</v>
      </c>
      <c r="R82">
        <v>52.448</v>
      </c>
      <c r="S82">
        <v>2</v>
      </c>
      <c r="T82">
        <v>0.8</v>
      </c>
      <c r="U82">
        <v>-131.12</v>
      </c>
      <c r="V82">
        <v>183.56800000000001</v>
      </c>
      <c r="W82">
        <v>10.489599999999998</v>
      </c>
      <c r="X82">
        <v>1.0895145123333042E-2</v>
      </c>
    </row>
    <row r="83" spans="1:24" x14ac:dyDescent="0.3">
      <c r="A83" t="s">
        <v>672</v>
      </c>
      <c r="B83" t="s">
        <v>673</v>
      </c>
      <c r="C83" s="1">
        <v>43576</v>
      </c>
      <c r="D83" s="1">
        <v>43580</v>
      </c>
      <c r="E83" t="s">
        <v>26</v>
      </c>
      <c r="F83" t="s">
        <v>674</v>
      </c>
      <c r="G83" t="s">
        <v>675</v>
      </c>
      <c r="H83" t="s">
        <v>29</v>
      </c>
      <c r="I83" t="s">
        <v>30</v>
      </c>
      <c r="J83" t="s">
        <v>174</v>
      </c>
      <c r="K83" t="s">
        <v>97</v>
      </c>
      <c r="L83" t="s">
        <v>676</v>
      </c>
      <c r="M83" t="s">
        <v>99</v>
      </c>
      <c r="N83" t="s">
        <v>677</v>
      </c>
      <c r="O83" t="s">
        <v>49</v>
      </c>
      <c r="P83" t="s">
        <v>101</v>
      </c>
      <c r="Q83" t="s">
        <v>678</v>
      </c>
      <c r="R83">
        <v>97.263999999999996</v>
      </c>
      <c r="S83">
        <v>4</v>
      </c>
      <c r="T83">
        <v>0.8</v>
      </c>
      <c r="U83">
        <v>-243.16</v>
      </c>
      <c r="V83">
        <v>340.42399999999998</v>
      </c>
      <c r="W83">
        <v>19.452799999999996</v>
      </c>
      <c r="X83">
        <v>1.175005287523794E-2</v>
      </c>
    </row>
    <row r="84" spans="1:24" x14ac:dyDescent="0.3">
      <c r="A84" t="s">
        <v>679</v>
      </c>
      <c r="B84" t="s">
        <v>680</v>
      </c>
      <c r="C84" s="1">
        <v>43084</v>
      </c>
      <c r="D84" s="1">
        <v>43088</v>
      </c>
      <c r="E84" t="s">
        <v>54</v>
      </c>
      <c r="F84" t="s">
        <v>681</v>
      </c>
      <c r="G84" t="s">
        <v>682</v>
      </c>
      <c r="H84" t="s">
        <v>95</v>
      </c>
      <c r="I84" t="s">
        <v>30</v>
      </c>
      <c r="J84" t="s">
        <v>261</v>
      </c>
      <c r="K84" t="s">
        <v>262</v>
      </c>
      <c r="L84" t="s">
        <v>312</v>
      </c>
      <c r="M84" t="s">
        <v>147</v>
      </c>
      <c r="N84" t="s">
        <v>683</v>
      </c>
      <c r="O84" t="s">
        <v>49</v>
      </c>
      <c r="P84" t="s">
        <v>129</v>
      </c>
      <c r="Q84" t="s">
        <v>684</v>
      </c>
      <c r="R84">
        <v>3.28</v>
      </c>
      <c r="S84">
        <v>1</v>
      </c>
      <c r="T84">
        <v>0</v>
      </c>
      <c r="U84">
        <v>1.4104000000000001</v>
      </c>
      <c r="V84">
        <v>1.8695999999999997</v>
      </c>
      <c r="W84">
        <v>3.28</v>
      </c>
      <c r="X84">
        <v>0.53487376979032952</v>
      </c>
    </row>
    <row r="85" spans="1:24" x14ac:dyDescent="0.3">
      <c r="A85" t="s">
        <v>685</v>
      </c>
      <c r="B85" t="s">
        <v>686</v>
      </c>
      <c r="C85" s="1">
        <v>42709</v>
      </c>
      <c r="D85" s="1">
        <v>42713</v>
      </c>
      <c r="E85" t="s">
        <v>26</v>
      </c>
      <c r="F85" t="s">
        <v>687</v>
      </c>
      <c r="G85" t="s">
        <v>688</v>
      </c>
      <c r="H85" t="s">
        <v>43</v>
      </c>
      <c r="I85" t="s">
        <v>30</v>
      </c>
      <c r="J85" t="s">
        <v>334</v>
      </c>
      <c r="K85" t="s">
        <v>202</v>
      </c>
      <c r="L85" t="s">
        <v>689</v>
      </c>
      <c r="M85" t="s">
        <v>99</v>
      </c>
      <c r="N85" t="s">
        <v>690</v>
      </c>
      <c r="O85" t="s">
        <v>49</v>
      </c>
      <c r="P85" t="s">
        <v>111</v>
      </c>
      <c r="Q85" t="s">
        <v>691</v>
      </c>
      <c r="R85">
        <v>24.815999999999999</v>
      </c>
      <c r="S85">
        <v>2</v>
      </c>
      <c r="T85">
        <v>0.2</v>
      </c>
      <c r="U85">
        <v>1.8612</v>
      </c>
      <c r="V85">
        <v>22.954799999999999</v>
      </c>
      <c r="W85">
        <v>19.852800000000002</v>
      </c>
      <c r="X85">
        <v>8.7127746702214792E-2</v>
      </c>
    </row>
    <row r="86" spans="1:24" x14ac:dyDescent="0.3">
      <c r="A86" t="s">
        <v>692</v>
      </c>
      <c r="B86" t="s">
        <v>693</v>
      </c>
      <c r="C86" s="1">
        <v>42693</v>
      </c>
      <c r="D86" s="1">
        <v>42698</v>
      </c>
      <c r="E86" t="s">
        <v>26</v>
      </c>
      <c r="F86" t="s">
        <v>694</v>
      </c>
      <c r="G86" t="s">
        <v>695</v>
      </c>
      <c r="H86" t="s">
        <v>95</v>
      </c>
      <c r="I86" t="s">
        <v>30</v>
      </c>
      <c r="J86" t="s">
        <v>696</v>
      </c>
      <c r="K86" t="s">
        <v>697</v>
      </c>
      <c r="L86" t="s">
        <v>698</v>
      </c>
      <c r="M86" t="s">
        <v>34</v>
      </c>
      <c r="N86" t="s">
        <v>699</v>
      </c>
      <c r="O86" t="s">
        <v>186</v>
      </c>
      <c r="P86" t="s">
        <v>187</v>
      </c>
      <c r="Q86" t="s">
        <v>700</v>
      </c>
      <c r="R86">
        <v>503.96</v>
      </c>
      <c r="S86">
        <v>4</v>
      </c>
      <c r="T86">
        <v>0</v>
      </c>
      <c r="U86">
        <v>131.02959999999999</v>
      </c>
      <c r="V86">
        <v>372.93039999999996</v>
      </c>
      <c r="W86">
        <v>503.96</v>
      </c>
      <c r="X86">
        <v>1.0725861983898338E-2</v>
      </c>
    </row>
    <row r="87" spans="1:24" x14ac:dyDescent="0.3">
      <c r="A87" t="s">
        <v>701</v>
      </c>
      <c r="B87" t="s">
        <v>702</v>
      </c>
      <c r="C87" s="1">
        <v>43432</v>
      </c>
      <c r="D87" s="1">
        <v>43436</v>
      </c>
      <c r="E87" t="s">
        <v>54</v>
      </c>
      <c r="F87" t="s">
        <v>703</v>
      </c>
      <c r="G87" t="s">
        <v>704</v>
      </c>
      <c r="H87" t="s">
        <v>29</v>
      </c>
      <c r="I87" t="s">
        <v>30</v>
      </c>
      <c r="J87" t="s">
        <v>705</v>
      </c>
      <c r="K87" t="s">
        <v>706</v>
      </c>
      <c r="L87" t="s">
        <v>707</v>
      </c>
      <c r="M87" t="s">
        <v>147</v>
      </c>
      <c r="N87" t="s">
        <v>708</v>
      </c>
      <c r="O87" t="s">
        <v>49</v>
      </c>
      <c r="P87" t="s">
        <v>89</v>
      </c>
      <c r="Q87" t="s">
        <v>709</v>
      </c>
      <c r="R87">
        <v>7.16</v>
      </c>
      <c r="S87">
        <v>2</v>
      </c>
      <c r="T87">
        <v>0</v>
      </c>
      <c r="U87">
        <v>3.4367999999999999</v>
      </c>
      <c r="V87">
        <v>3.7232000000000003</v>
      </c>
      <c r="W87">
        <v>7.16</v>
      </c>
      <c r="X87">
        <v>0.53717232488182209</v>
      </c>
    </row>
    <row r="88" spans="1:24" x14ac:dyDescent="0.3">
      <c r="A88" t="s">
        <v>710</v>
      </c>
      <c r="B88" t="s">
        <v>711</v>
      </c>
      <c r="C88" s="1">
        <v>42608</v>
      </c>
      <c r="D88" s="1">
        <v>42612</v>
      </c>
      <c r="E88" t="s">
        <v>54</v>
      </c>
      <c r="F88" t="s">
        <v>712</v>
      </c>
      <c r="G88" t="s">
        <v>713</v>
      </c>
      <c r="H88" t="s">
        <v>95</v>
      </c>
      <c r="I88" t="s">
        <v>30</v>
      </c>
      <c r="J88" t="s">
        <v>44</v>
      </c>
      <c r="K88" t="s">
        <v>45</v>
      </c>
      <c r="L88" t="s">
        <v>67</v>
      </c>
      <c r="M88" t="s">
        <v>47</v>
      </c>
      <c r="N88" t="s">
        <v>714</v>
      </c>
      <c r="O88" t="s">
        <v>186</v>
      </c>
      <c r="P88" t="s">
        <v>228</v>
      </c>
      <c r="Q88" t="s">
        <v>715</v>
      </c>
      <c r="R88">
        <v>176.8</v>
      </c>
      <c r="S88">
        <v>8</v>
      </c>
      <c r="T88">
        <v>0</v>
      </c>
      <c r="U88">
        <v>22.984000000000002</v>
      </c>
      <c r="V88">
        <v>153.816</v>
      </c>
      <c r="W88">
        <v>176.8</v>
      </c>
      <c r="X88">
        <v>5.2010193998023611E-2</v>
      </c>
    </row>
    <row r="89" spans="1:24" x14ac:dyDescent="0.3">
      <c r="A89" t="s">
        <v>716</v>
      </c>
      <c r="B89" t="s">
        <v>717</v>
      </c>
      <c r="C89" s="1">
        <v>43297</v>
      </c>
      <c r="D89" s="1">
        <v>43303</v>
      </c>
      <c r="E89" t="s">
        <v>54</v>
      </c>
      <c r="F89" t="s">
        <v>718</v>
      </c>
      <c r="G89" t="s">
        <v>719</v>
      </c>
      <c r="H89" t="s">
        <v>43</v>
      </c>
      <c r="I89" t="s">
        <v>30</v>
      </c>
      <c r="J89" t="s">
        <v>720</v>
      </c>
      <c r="K89" t="s">
        <v>97</v>
      </c>
      <c r="L89" t="s">
        <v>721</v>
      </c>
      <c r="M89" t="s">
        <v>99</v>
      </c>
      <c r="N89" t="s">
        <v>722</v>
      </c>
      <c r="O89" t="s">
        <v>49</v>
      </c>
      <c r="P89" t="s">
        <v>111</v>
      </c>
      <c r="Q89" t="s">
        <v>723</v>
      </c>
      <c r="R89">
        <v>37.223999999999997</v>
      </c>
      <c r="S89">
        <v>3</v>
      </c>
      <c r="T89">
        <v>0.2</v>
      </c>
      <c r="U89">
        <v>3.7223999999999999</v>
      </c>
      <c r="V89">
        <v>33.501599999999996</v>
      </c>
      <c r="W89">
        <v>29.779199999999999</v>
      </c>
      <c r="X89">
        <v>8.9547961888387428E-2</v>
      </c>
    </row>
    <row r="90" spans="1:24" x14ac:dyDescent="0.3">
      <c r="A90" t="s">
        <v>724</v>
      </c>
      <c r="B90" t="s">
        <v>725</v>
      </c>
      <c r="C90" s="1">
        <v>43020</v>
      </c>
      <c r="D90" s="1">
        <v>43022</v>
      </c>
      <c r="E90" t="s">
        <v>180</v>
      </c>
      <c r="F90" t="s">
        <v>726</v>
      </c>
      <c r="G90" t="s">
        <v>727</v>
      </c>
      <c r="H90" t="s">
        <v>95</v>
      </c>
      <c r="I90" t="s">
        <v>30</v>
      </c>
      <c r="J90" t="s">
        <v>261</v>
      </c>
      <c r="K90" t="s">
        <v>262</v>
      </c>
      <c r="L90" t="s">
        <v>459</v>
      </c>
      <c r="M90" t="s">
        <v>147</v>
      </c>
      <c r="N90" t="s">
        <v>728</v>
      </c>
      <c r="O90" t="s">
        <v>36</v>
      </c>
      <c r="P90" t="s">
        <v>37</v>
      </c>
      <c r="Q90" t="s">
        <v>729</v>
      </c>
      <c r="R90">
        <v>899.13599999999997</v>
      </c>
      <c r="S90">
        <v>4</v>
      </c>
      <c r="T90">
        <v>0.2</v>
      </c>
      <c r="U90">
        <v>112.392</v>
      </c>
      <c r="V90">
        <v>786.74399999999991</v>
      </c>
      <c r="W90">
        <v>719.30880000000002</v>
      </c>
      <c r="X90">
        <v>5.0842459554823428E-3</v>
      </c>
    </row>
    <row r="91" spans="1:24" x14ac:dyDescent="0.3">
      <c r="A91" t="s">
        <v>730</v>
      </c>
      <c r="B91" t="s">
        <v>731</v>
      </c>
      <c r="C91" s="1">
        <v>43039</v>
      </c>
      <c r="D91" s="1">
        <v>43045</v>
      </c>
      <c r="E91" t="s">
        <v>54</v>
      </c>
      <c r="F91" t="s">
        <v>732</v>
      </c>
      <c r="G91" t="s">
        <v>733</v>
      </c>
      <c r="H91" t="s">
        <v>43</v>
      </c>
      <c r="I91" t="s">
        <v>30</v>
      </c>
      <c r="J91" t="s">
        <v>734</v>
      </c>
      <c r="K91" t="s">
        <v>45</v>
      </c>
      <c r="L91" t="s">
        <v>735</v>
      </c>
      <c r="M91" t="s">
        <v>47</v>
      </c>
      <c r="N91" t="s">
        <v>736</v>
      </c>
      <c r="O91" t="s">
        <v>49</v>
      </c>
      <c r="P91" t="s">
        <v>195</v>
      </c>
      <c r="Q91" t="s">
        <v>737</v>
      </c>
      <c r="R91">
        <v>14.28</v>
      </c>
      <c r="S91">
        <v>7</v>
      </c>
      <c r="T91">
        <v>0</v>
      </c>
      <c r="U91">
        <v>6.7115999999999998</v>
      </c>
      <c r="V91">
        <v>7.5683999999999996</v>
      </c>
      <c r="W91">
        <v>14.28</v>
      </c>
      <c r="X91">
        <v>0.92489826119126906</v>
      </c>
    </row>
    <row r="92" spans="1:24" x14ac:dyDescent="0.3">
      <c r="A92" t="s">
        <v>738</v>
      </c>
      <c r="B92" t="s">
        <v>739</v>
      </c>
      <c r="C92" s="1">
        <v>42450</v>
      </c>
      <c r="D92" s="1">
        <v>42454</v>
      </c>
      <c r="E92" t="s">
        <v>54</v>
      </c>
      <c r="F92" t="s">
        <v>740</v>
      </c>
      <c r="G92" t="s">
        <v>741</v>
      </c>
      <c r="H92" t="s">
        <v>29</v>
      </c>
      <c r="I92" t="s">
        <v>30</v>
      </c>
      <c r="J92" t="s">
        <v>742</v>
      </c>
      <c r="K92" t="s">
        <v>476</v>
      </c>
      <c r="L92" t="s">
        <v>743</v>
      </c>
      <c r="M92" t="s">
        <v>147</v>
      </c>
      <c r="N92" t="s">
        <v>744</v>
      </c>
      <c r="O92" t="s">
        <v>49</v>
      </c>
      <c r="P92" t="s">
        <v>129</v>
      </c>
      <c r="Q92" t="s">
        <v>745</v>
      </c>
      <c r="R92">
        <v>7.4080000000000004</v>
      </c>
      <c r="S92">
        <v>2</v>
      </c>
      <c r="T92">
        <v>0.2</v>
      </c>
      <c r="U92">
        <v>1.2038</v>
      </c>
      <c r="V92">
        <v>6.2042000000000002</v>
      </c>
      <c r="W92">
        <v>5.926400000000001</v>
      </c>
      <c r="X92">
        <v>0.32236227071983492</v>
      </c>
    </row>
    <row r="93" spans="1:24" x14ac:dyDescent="0.3">
      <c r="A93" t="s">
        <v>746</v>
      </c>
      <c r="B93" t="s">
        <v>747</v>
      </c>
      <c r="C93" s="1">
        <v>43775</v>
      </c>
      <c r="D93" s="1">
        <v>43782</v>
      </c>
      <c r="E93" t="s">
        <v>54</v>
      </c>
      <c r="F93" t="s">
        <v>748</v>
      </c>
      <c r="G93" t="s">
        <v>749</v>
      </c>
      <c r="H93" t="s">
        <v>95</v>
      </c>
      <c r="I93" t="s">
        <v>30</v>
      </c>
      <c r="J93" t="s">
        <v>750</v>
      </c>
      <c r="K93" t="s">
        <v>751</v>
      </c>
      <c r="L93" t="s">
        <v>752</v>
      </c>
      <c r="M93" t="s">
        <v>147</v>
      </c>
      <c r="N93" t="s">
        <v>753</v>
      </c>
      <c r="O93" t="s">
        <v>49</v>
      </c>
      <c r="P93" t="s">
        <v>111</v>
      </c>
      <c r="Q93" t="s">
        <v>754</v>
      </c>
      <c r="R93">
        <v>46.26</v>
      </c>
      <c r="S93">
        <v>3</v>
      </c>
      <c r="T93">
        <v>0</v>
      </c>
      <c r="U93">
        <v>12.0276</v>
      </c>
      <c r="V93">
        <v>34.232399999999998</v>
      </c>
      <c r="W93">
        <v>46.26</v>
      </c>
      <c r="X93">
        <v>8.7636274406702422E-2</v>
      </c>
    </row>
    <row r="94" spans="1:24" x14ac:dyDescent="0.3">
      <c r="A94" t="s">
        <v>755</v>
      </c>
      <c r="B94" t="s">
        <v>756</v>
      </c>
      <c r="C94" s="1">
        <v>43652</v>
      </c>
      <c r="D94" s="1">
        <v>43659</v>
      </c>
      <c r="E94" t="s">
        <v>54</v>
      </c>
      <c r="F94" t="s">
        <v>757</v>
      </c>
      <c r="G94" t="s">
        <v>758</v>
      </c>
      <c r="H94" t="s">
        <v>43</v>
      </c>
      <c r="I94" t="s">
        <v>30</v>
      </c>
      <c r="J94" t="s">
        <v>144</v>
      </c>
      <c r="K94" t="s">
        <v>145</v>
      </c>
      <c r="L94" t="s">
        <v>759</v>
      </c>
      <c r="M94" t="s">
        <v>147</v>
      </c>
      <c r="N94" t="s">
        <v>760</v>
      </c>
      <c r="O94" t="s">
        <v>49</v>
      </c>
      <c r="P94" t="s">
        <v>89</v>
      </c>
      <c r="Q94" t="s">
        <v>761</v>
      </c>
      <c r="R94">
        <v>2.9460000000000002</v>
      </c>
      <c r="S94">
        <v>2</v>
      </c>
      <c r="T94">
        <v>0.7</v>
      </c>
      <c r="U94">
        <v>-2.2585999999999999</v>
      </c>
      <c r="V94">
        <v>5.2046000000000001</v>
      </c>
      <c r="W94">
        <v>0.88380000000000014</v>
      </c>
      <c r="X94">
        <v>0.3842754486415863</v>
      </c>
    </row>
    <row r="95" spans="1:24" x14ac:dyDescent="0.3">
      <c r="A95" t="s">
        <v>762</v>
      </c>
      <c r="B95" t="s">
        <v>763</v>
      </c>
      <c r="C95" s="1">
        <v>43640</v>
      </c>
      <c r="D95" s="1">
        <v>43645</v>
      </c>
      <c r="E95" t="s">
        <v>54</v>
      </c>
      <c r="F95" t="s">
        <v>764</v>
      </c>
      <c r="G95" t="s">
        <v>765</v>
      </c>
      <c r="H95" t="s">
        <v>29</v>
      </c>
      <c r="I95" t="s">
        <v>30</v>
      </c>
      <c r="J95" t="s">
        <v>766</v>
      </c>
      <c r="K95" t="s">
        <v>476</v>
      </c>
      <c r="L95" t="s">
        <v>767</v>
      </c>
      <c r="M95" t="s">
        <v>147</v>
      </c>
      <c r="N95" t="s">
        <v>768</v>
      </c>
      <c r="O95" t="s">
        <v>49</v>
      </c>
      <c r="P95" t="s">
        <v>79</v>
      </c>
      <c r="Q95" t="s">
        <v>769</v>
      </c>
      <c r="R95">
        <v>21.744</v>
      </c>
      <c r="S95">
        <v>3</v>
      </c>
      <c r="T95">
        <v>0.2</v>
      </c>
      <c r="U95">
        <v>6.7949999999999999</v>
      </c>
      <c r="V95">
        <v>14.949</v>
      </c>
      <c r="W95">
        <v>17.395199999999999</v>
      </c>
      <c r="X95">
        <v>0.20068231988761789</v>
      </c>
    </row>
    <row r="96" spans="1:24" x14ac:dyDescent="0.3">
      <c r="A96" t="s">
        <v>770</v>
      </c>
      <c r="B96" t="s">
        <v>771</v>
      </c>
      <c r="C96" s="1">
        <v>42585</v>
      </c>
      <c r="D96" s="1">
        <v>42587</v>
      </c>
      <c r="E96" t="s">
        <v>180</v>
      </c>
      <c r="F96" t="s">
        <v>772</v>
      </c>
      <c r="G96" t="s">
        <v>773</v>
      </c>
      <c r="H96" t="s">
        <v>29</v>
      </c>
      <c r="I96" t="s">
        <v>30</v>
      </c>
      <c r="J96" t="s">
        <v>774</v>
      </c>
      <c r="K96" t="s">
        <v>435</v>
      </c>
      <c r="L96" t="s">
        <v>775</v>
      </c>
      <c r="M96" t="s">
        <v>47</v>
      </c>
      <c r="N96" t="s">
        <v>776</v>
      </c>
      <c r="O96" t="s">
        <v>36</v>
      </c>
      <c r="P96" t="s">
        <v>61</v>
      </c>
      <c r="Q96" t="s">
        <v>777</v>
      </c>
      <c r="R96">
        <v>218.75</v>
      </c>
      <c r="S96">
        <v>2</v>
      </c>
      <c r="T96">
        <v>0.5</v>
      </c>
      <c r="U96">
        <v>-161.875</v>
      </c>
      <c r="V96">
        <v>380.625</v>
      </c>
      <c r="W96">
        <v>109.375</v>
      </c>
      <c r="X96">
        <v>5.2545155993431857E-3</v>
      </c>
    </row>
    <row r="97" spans="1:24" x14ac:dyDescent="0.3">
      <c r="A97" t="s">
        <v>778</v>
      </c>
      <c r="B97" t="s">
        <v>779</v>
      </c>
      <c r="C97" s="1">
        <v>43816</v>
      </c>
      <c r="D97" s="1">
        <v>43820</v>
      </c>
      <c r="E97" t="s">
        <v>26</v>
      </c>
      <c r="F97" t="s">
        <v>780</v>
      </c>
      <c r="G97" t="s">
        <v>781</v>
      </c>
      <c r="H97" t="s">
        <v>29</v>
      </c>
      <c r="I97" t="s">
        <v>30</v>
      </c>
      <c r="J97" t="s">
        <v>782</v>
      </c>
      <c r="K97" t="s">
        <v>97</v>
      </c>
      <c r="L97" t="s">
        <v>783</v>
      </c>
      <c r="M97" t="s">
        <v>99</v>
      </c>
      <c r="N97" t="s">
        <v>784</v>
      </c>
      <c r="O97" t="s">
        <v>49</v>
      </c>
      <c r="P97" t="s">
        <v>101</v>
      </c>
      <c r="Q97" t="s">
        <v>785</v>
      </c>
      <c r="R97">
        <v>66.284000000000006</v>
      </c>
      <c r="S97">
        <v>2</v>
      </c>
      <c r="T97">
        <v>0.8</v>
      </c>
      <c r="U97">
        <v>-178.96680000000001</v>
      </c>
      <c r="V97">
        <v>245.25080000000003</v>
      </c>
      <c r="W97">
        <v>13.256799999999998</v>
      </c>
      <c r="X97">
        <v>8.1549173336029884E-3</v>
      </c>
    </row>
    <row r="98" spans="1:24" x14ac:dyDescent="0.3">
      <c r="A98" t="s">
        <v>786</v>
      </c>
      <c r="B98" t="s">
        <v>787</v>
      </c>
      <c r="C98" s="1">
        <v>43619</v>
      </c>
      <c r="D98" s="1">
        <v>43623</v>
      </c>
      <c r="E98" t="s">
        <v>54</v>
      </c>
      <c r="F98" t="s">
        <v>788</v>
      </c>
      <c r="G98" t="s">
        <v>789</v>
      </c>
      <c r="H98" t="s">
        <v>43</v>
      </c>
      <c r="I98" t="s">
        <v>30</v>
      </c>
      <c r="J98" t="s">
        <v>582</v>
      </c>
      <c r="K98" t="s">
        <v>320</v>
      </c>
      <c r="L98" t="s">
        <v>790</v>
      </c>
      <c r="M98" t="s">
        <v>34</v>
      </c>
      <c r="N98" t="s">
        <v>791</v>
      </c>
      <c r="O98" t="s">
        <v>36</v>
      </c>
      <c r="P98" t="s">
        <v>69</v>
      </c>
      <c r="Q98" t="s">
        <v>792</v>
      </c>
      <c r="R98">
        <v>35.167999999999999</v>
      </c>
      <c r="S98">
        <v>7</v>
      </c>
      <c r="T98">
        <v>0.2</v>
      </c>
      <c r="U98">
        <v>9.6712000000000007</v>
      </c>
      <c r="V98">
        <v>25.4968</v>
      </c>
      <c r="W98">
        <v>28.134399999999999</v>
      </c>
      <c r="X98">
        <v>0.27454425653415332</v>
      </c>
    </row>
    <row r="99" spans="1:24" x14ac:dyDescent="0.3">
      <c r="A99" t="s">
        <v>793</v>
      </c>
      <c r="B99" t="s">
        <v>794</v>
      </c>
      <c r="C99" s="1">
        <v>43808</v>
      </c>
      <c r="D99" s="1">
        <v>43813</v>
      </c>
      <c r="E99" t="s">
        <v>54</v>
      </c>
      <c r="F99" t="s">
        <v>795</v>
      </c>
      <c r="G99" t="s">
        <v>796</v>
      </c>
      <c r="H99" t="s">
        <v>29</v>
      </c>
      <c r="I99" t="s">
        <v>30</v>
      </c>
      <c r="J99" t="s">
        <v>797</v>
      </c>
      <c r="K99" t="s">
        <v>45</v>
      </c>
      <c r="L99" t="s">
        <v>798</v>
      </c>
      <c r="M99" t="s">
        <v>47</v>
      </c>
      <c r="N99" t="s">
        <v>799</v>
      </c>
      <c r="O99" t="s">
        <v>186</v>
      </c>
      <c r="P99" t="s">
        <v>187</v>
      </c>
      <c r="Q99" t="s">
        <v>800</v>
      </c>
      <c r="R99">
        <v>444.76799999999997</v>
      </c>
      <c r="S99">
        <v>4</v>
      </c>
      <c r="T99">
        <v>0.2</v>
      </c>
      <c r="U99">
        <v>44.476799999999997</v>
      </c>
      <c r="V99">
        <v>400.2912</v>
      </c>
      <c r="W99">
        <v>355.81439999999998</v>
      </c>
      <c r="X99">
        <v>9.9927252959845225E-3</v>
      </c>
    </row>
    <row r="100" spans="1:24" x14ac:dyDescent="0.3">
      <c r="A100" t="s">
        <v>801</v>
      </c>
      <c r="B100" t="s">
        <v>802</v>
      </c>
      <c r="C100" s="1">
        <v>43800</v>
      </c>
      <c r="D100" s="1">
        <v>43806</v>
      </c>
      <c r="E100" t="s">
        <v>54</v>
      </c>
      <c r="F100" t="s">
        <v>803</v>
      </c>
      <c r="G100" t="s">
        <v>804</v>
      </c>
      <c r="H100" t="s">
        <v>29</v>
      </c>
      <c r="I100" t="s">
        <v>30</v>
      </c>
      <c r="J100" t="s">
        <v>805</v>
      </c>
      <c r="K100" t="s">
        <v>235</v>
      </c>
      <c r="L100" t="s">
        <v>806</v>
      </c>
      <c r="M100" t="s">
        <v>99</v>
      </c>
      <c r="N100" t="s">
        <v>807</v>
      </c>
      <c r="O100" t="s">
        <v>49</v>
      </c>
      <c r="P100" t="s">
        <v>111</v>
      </c>
      <c r="Q100" t="s">
        <v>808</v>
      </c>
      <c r="R100">
        <v>83.92</v>
      </c>
      <c r="S100">
        <v>4</v>
      </c>
      <c r="T100">
        <v>0</v>
      </c>
      <c r="U100">
        <v>5.8743999999999996</v>
      </c>
      <c r="V100">
        <v>78.045600000000007</v>
      </c>
      <c r="W100">
        <v>83.92</v>
      </c>
      <c r="X100">
        <v>5.1252088522607292E-2</v>
      </c>
    </row>
    <row r="101" spans="1:24" x14ac:dyDescent="0.3">
      <c r="A101" t="s">
        <v>809</v>
      </c>
      <c r="B101" t="s">
        <v>810</v>
      </c>
      <c r="C101" s="1">
        <v>42775</v>
      </c>
      <c r="D101" s="1">
        <v>42779</v>
      </c>
      <c r="E101" t="s">
        <v>26</v>
      </c>
      <c r="F101" t="s">
        <v>811</v>
      </c>
      <c r="G101" t="s">
        <v>812</v>
      </c>
      <c r="H101" t="s">
        <v>43</v>
      </c>
      <c r="I101" t="s">
        <v>30</v>
      </c>
      <c r="J101" t="s">
        <v>782</v>
      </c>
      <c r="K101" t="s">
        <v>97</v>
      </c>
      <c r="L101" t="s">
        <v>783</v>
      </c>
      <c r="M101" t="s">
        <v>99</v>
      </c>
      <c r="N101" t="s">
        <v>813</v>
      </c>
      <c r="O101" t="s">
        <v>186</v>
      </c>
      <c r="P101" t="s">
        <v>228</v>
      </c>
      <c r="Q101" t="s">
        <v>814</v>
      </c>
      <c r="R101">
        <v>20.8</v>
      </c>
      <c r="S101">
        <v>2</v>
      </c>
      <c r="T101">
        <v>0.2</v>
      </c>
      <c r="U101">
        <v>6.5</v>
      </c>
      <c r="V101">
        <v>14.3</v>
      </c>
      <c r="W101">
        <v>16.64</v>
      </c>
      <c r="X101">
        <v>0.13986013986013984</v>
      </c>
    </row>
    <row r="102" spans="1:24" x14ac:dyDescent="0.3">
      <c r="A102" t="s">
        <v>815</v>
      </c>
      <c r="B102" t="s">
        <v>816</v>
      </c>
      <c r="C102" s="1">
        <v>42737</v>
      </c>
      <c r="D102" s="1">
        <v>42744</v>
      </c>
      <c r="E102" t="s">
        <v>54</v>
      </c>
      <c r="F102" t="s">
        <v>817</v>
      </c>
      <c r="G102" t="s">
        <v>818</v>
      </c>
      <c r="H102" t="s">
        <v>43</v>
      </c>
      <c r="I102" t="s">
        <v>30</v>
      </c>
      <c r="J102" t="s">
        <v>819</v>
      </c>
      <c r="K102" t="s">
        <v>476</v>
      </c>
      <c r="L102" t="s">
        <v>820</v>
      </c>
      <c r="M102" t="s">
        <v>147</v>
      </c>
      <c r="N102" t="s">
        <v>821</v>
      </c>
      <c r="O102" t="s">
        <v>49</v>
      </c>
      <c r="P102" t="s">
        <v>50</v>
      </c>
      <c r="Q102" t="s">
        <v>822</v>
      </c>
      <c r="R102">
        <v>23.68</v>
      </c>
      <c r="S102">
        <v>2</v>
      </c>
      <c r="T102">
        <v>0.2</v>
      </c>
      <c r="U102">
        <v>8.8800000000000008</v>
      </c>
      <c r="V102">
        <v>14.799999999999999</v>
      </c>
      <c r="W102">
        <v>18.943999999999999</v>
      </c>
      <c r="X102">
        <v>0.13513513513513514</v>
      </c>
    </row>
    <row r="103" spans="1:24" x14ac:dyDescent="0.3">
      <c r="A103" t="s">
        <v>823</v>
      </c>
      <c r="B103" t="s">
        <v>824</v>
      </c>
      <c r="C103" s="1">
        <v>43401</v>
      </c>
      <c r="D103" s="1">
        <v>43405</v>
      </c>
      <c r="E103" t="s">
        <v>54</v>
      </c>
      <c r="F103" t="s">
        <v>825</v>
      </c>
      <c r="G103" t="s">
        <v>826</v>
      </c>
      <c r="H103" t="s">
        <v>29</v>
      </c>
      <c r="I103" t="s">
        <v>30</v>
      </c>
      <c r="J103" t="s">
        <v>44</v>
      </c>
      <c r="K103" t="s">
        <v>45</v>
      </c>
      <c r="L103" t="s">
        <v>67</v>
      </c>
      <c r="M103" t="s">
        <v>47</v>
      </c>
      <c r="N103" t="s">
        <v>722</v>
      </c>
      <c r="O103" t="s">
        <v>49</v>
      </c>
      <c r="P103" t="s">
        <v>111</v>
      </c>
      <c r="Q103" t="s">
        <v>723</v>
      </c>
      <c r="R103">
        <v>93.06</v>
      </c>
      <c r="S103">
        <v>6</v>
      </c>
      <c r="T103">
        <v>0</v>
      </c>
      <c r="U103">
        <v>26.056799999999999</v>
      </c>
      <c r="V103">
        <v>67.003200000000007</v>
      </c>
      <c r="W103">
        <v>93.06</v>
      </c>
      <c r="X103">
        <v>8.9547961888387415E-2</v>
      </c>
    </row>
    <row r="104" spans="1:24" x14ac:dyDescent="0.3">
      <c r="A104" t="s">
        <v>827</v>
      </c>
      <c r="B104" t="s">
        <v>828</v>
      </c>
      <c r="C104" s="1">
        <v>43093</v>
      </c>
      <c r="D104" s="1">
        <v>43096</v>
      </c>
      <c r="E104" t="s">
        <v>180</v>
      </c>
      <c r="F104" t="s">
        <v>829</v>
      </c>
      <c r="G104" t="s">
        <v>830</v>
      </c>
      <c r="H104" t="s">
        <v>29</v>
      </c>
      <c r="I104" t="s">
        <v>30</v>
      </c>
      <c r="J104" t="s">
        <v>831</v>
      </c>
      <c r="K104" t="s">
        <v>476</v>
      </c>
      <c r="L104" t="s">
        <v>832</v>
      </c>
      <c r="M104" t="s">
        <v>147</v>
      </c>
      <c r="N104" t="s">
        <v>833</v>
      </c>
      <c r="O104" t="s">
        <v>49</v>
      </c>
      <c r="P104" t="s">
        <v>265</v>
      </c>
      <c r="Q104" t="s">
        <v>834</v>
      </c>
      <c r="R104">
        <v>5.5839999999999996</v>
      </c>
      <c r="S104">
        <v>2</v>
      </c>
      <c r="T104">
        <v>0.2</v>
      </c>
      <c r="U104">
        <v>1.8148</v>
      </c>
      <c r="V104">
        <v>3.7691999999999997</v>
      </c>
      <c r="W104">
        <v>4.4672000000000001</v>
      </c>
      <c r="X104">
        <v>0.53061657646184868</v>
      </c>
    </row>
    <row r="105" spans="1:24" x14ac:dyDescent="0.3">
      <c r="A105" t="s">
        <v>835</v>
      </c>
      <c r="B105" t="s">
        <v>836</v>
      </c>
      <c r="C105" s="1">
        <v>42956</v>
      </c>
      <c r="D105" s="1">
        <v>42963</v>
      </c>
      <c r="E105" t="s">
        <v>54</v>
      </c>
      <c r="F105" t="s">
        <v>837</v>
      </c>
      <c r="G105" t="s">
        <v>838</v>
      </c>
      <c r="H105" t="s">
        <v>43</v>
      </c>
      <c r="I105" t="s">
        <v>30</v>
      </c>
      <c r="J105" t="s">
        <v>839</v>
      </c>
      <c r="K105" t="s">
        <v>235</v>
      </c>
      <c r="L105" t="s">
        <v>840</v>
      </c>
      <c r="M105" t="s">
        <v>99</v>
      </c>
      <c r="N105" t="s">
        <v>841</v>
      </c>
      <c r="O105" t="s">
        <v>49</v>
      </c>
      <c r="P105" t="s">
        <v>129</v>
      </c>
      <c r="Q105" t="s">
        <v>842</v>
      </c>
      <c r="R105">
        <v>2.2000000000000002</v>
      </c>
      <c r="S105">
        <v>1</v>
      </c>
      <c r="T105">
        <v>0</v>
      </c>
      <c r="U105">
        <v>0.96799999999999997</v>
      </c>
      <c r="V105">
        <v>1.2320000000000002</v>
      </c>
      <c r="W105">
        <v>2.2000000000000002</v>
      </c>
      <c r="X105">
        <v>0.81168831168831157</v>
      </c>
    </row>
    <row r="106" spans="1:24" x14ac:dyDescent="0.3">
      <c r="A106" t="s">
        <v>843</v>
      </c>
      <c r="B106" t="s">
        <v>844</v>
      </c>
      <c r="C106" s="1">
        <v>42794</v>
      </c>
      <c r="D106" s="1">
        <v>42798</v>
      </c>
      <c r="E106" t="s">
        <v>54</v>
      </c>
      <c r="F106" t="s">
        <v>845</v>
      </c>
      <c r="G106" t="s">
        <v>846</v>
      </c>
      <c r="H106" t="s">
        <v>29</v>
      </c>
      <c r="I106" t="s">
        <v>30</v>
      </c>
      <c r="J106" t="s">
        <v>847</v>
      </c>
      <c r="K106" t="s">
        <v>320</v>
      </c>
      <c r="L106" t="s">
        <v>848</v>
      </c>
      <c r="M106" t="s">
        <v>34</v>
      </c>
      <c r="N106" t="s">
        <v>849</v>
      </c>
      <c r="O106" t="s">
        <v>36</v>
      </c>
      <c r="P106" t="s">
        <v>149</v>
      </c>
      <c r="Q106" t="s">
        <v>850</v>
      </c>
      <c r="R106">
        <v>161.56800000000001</v>
      </c>
      <c r="S106">
        <v>2</v>
      </c>
      <c r="T106">
        <v>0.2</v>
      </c>
      <c r="U106">
        <v>-28.2744</v>
      </c>
      <c r="V106">
        <v>189.8424</v>
      </c>
      <c r="W106">
        <v>129.2544</v>
      </c>
      <c r="X106">
        <v>1.0535054339810284E-2</v>
      </c>
    </row>
    <row r="107" spans="1:24" x14ac:dyDescent="0.3">
      <c r="A107" t="s">
        <v>851</v>
      </c>
      <c r="B107" t="s">
        <v>852</v>
      </c>
      <c r="C107" s="1">
        <v>42626</v>
      </c>
      <c r="D107" s="1">
        <v>42630</v>
      </c>
      <c r="E107" t="s">
        <v>54</v>
      </c>
      <c r="F107" t="s">
        <v>853</v>
      </c>
      <c r="G107" t="s">
        <v>854</v>
      </c>
      <c r="H107" t="s">
        <v>43</v>
      </c>
      <c r="I107" t="s">
        <v>30</v>
      </c>
      <c r="J107" t="s">
        <v>443</v>
      </c>
      <c r="K107" t="s">
        <v>76</v>
      </c>
      <c r="L107" t="s">
        <v>444</v>
      </c>
      <c r="M107" t="s">
        <v>34</v>
      </c>
      <c r="N107" t="s">
        <v>855</v>
      </c>
      <c r="O107" t="s">
        <v>49</v>
      </c>
      <c r="P107" t="s">
        <v>89</v>
      </c>
      <c r="Q107" t="s">
        <v>856</v>
      </c>
      <c r="R107">
        <v>18.648</v>
      </c>
      <c r="S107">
        <v>7</v>
      </c>
      <c r="T107">
        <v>0.7</v>
      </c>
      <c r="U107">
        <v>-12.432</v>
      </c>
      <c r="V107">
        <v>31.08</v>
      </c>
      <c r="W107">
        <v>5.5944000000000011</v>
      </c>
      <c r="X107">
        <v>0.22522522522522523</v>
      </c>
    </row>
    <row r="108" spans="1:24" x14ac:dyDescent="0.3">
      <c r="A108" t="s">
        <v>857</v>
      </c>
      <c r="B108" t="s">
        <v>858</v>
      </c>
      <c r="C108" s="1">
        <v>43781</v>
      </c>
      <c r="D108" s="1">
        <v>43785</v>
      </c>
      <c r="E108" t="s">
        <v>54</v>
      </c>
      <c r="F108" t="s">
        <v>859</v>
      </c>
      <c r="G108" t="s">
        <v>860</v>
      </c>
      <c r="H108" t="s">
        <v>43</v>
      </c>
      <c r="I108" t="s">
        <v>30</v>
      </c>
      <c r="J108" t="s">
        <v>861</v>
      </c>
      <c r="K108" t="s">
        <v>45</v>
      </c>
      <c r="L108" t="s">
        <v>862</v>
      </c>
      <c r="M108" t="s">
        <v>47</v>
      </c>
      <c r="N108" t="s">
        <v>863</v>
      </c>
      <c r="O108" t="s">
        <v>49</v>
      </c>
      <c r="P108" t="s">
        <v>79</v>
      </c>
      <c r="Q108" t="s">
        <v>864</v>
      </c>
      <c r="R108">
        <v>10.56</v>
      </c>
      <c r="S108">
        <v>2</v>
      </c>
      <c r="T108">
        <v>0</v>
      </c>
      <c r="U108">
        <v>4.7519999999999998</v>
      </c>
      <c r="V108">
        <v>5.8080000000000007</v>
      </c>
      <c r="W108">
        <v>10.56</v>
      </c>
      <c r="X108">
        <v>0.34435261707988979</v>
      </c>
    </row>
    <row r="109" spans="1:24" x14ac:dyDescent="0.3">
      <c r="A109" t="s">
        <v>865</v>
      </c>
      <c r="B109" t="s">
        <v>866</v>
      </c>
      <c r="C109" s="1">
        <v>43255</v>
      </c>
      <c r="D109" s="1">
        <v>43260</v>
      </c>
      <c r="E109" t="s">
        <v>26</v>
      </c>
      <c r="F109" t="s">
        <v>867</v>
      </c>
      <c r="G109" t="s">
        <v>868</v>
      </c>
      <c r="H109" t="s">
        <v>29</v>
      </c>
      <c r="I109" t="s">
        <v>30</v>
      </c>
      <c r="J109" t="s">
        <v>286</v>
      </c>
      <c r="K109" t="s">
        <v>202</v>
      </c>
      <c r="L109" t="s">
        <v>287</v>
      </c>
      <c r="M109" t="s">
        <v>99</v>
      </c>
      <c r="N109" t="s">
        <v>869</v>
      </c>
      <c r="O109" t="s">
        <v>49</v>
      </c>
      <c r="P109" t="s">
        <v>79</v>
      </c>
      <c r="Q109" t="s">
        <v>870</v>
      </c>
      <c r="R109">
        <v>25.92</v>
      </c>
      <c r="S109">
        <v>5</v>
      </c>
      <c r="T109">
        <v>0.2</v>
      </c>
      <c r="U109">
        <v>9.3960000000000008</v>
      </c>
      <c r="V109">
        <v>16.524000000000001</v>
      </c>
      <c r="W109">
        <v>20.736000000000004</v>
      </c>
      <c r="X109">
        <v>0.30259017187121762</v>
      </c>
    </row>
    <row r="110" spans="1:24" x14ac:dyDescent="0.3">
      <c r="A110" t="s">
        <v>871</v>
      </c>
      <c r="B110" t="s">
        <v>872</v>
      </c>
      <c r="C110" s="1">
        <v>42522</v>
      </c>
      <c r="D110" s="1">
        <v>42527</v>
      </c>
      <c r="E110" t="s">
        <v>26</v>
      </c>
      <c r="F110" t="s">
        <v>873</v>
      </c>
      <c r="G110" t="s">
        <v>874</v>
      </c>
      <c r="H110" t="s">
        <v>95</v>
      </c>
      <c r="I110" t="s">
        <v>30</v>
      </c>
      <c r="J110" t="s">
        <v>875</v>
      </c>
      <c r="K110" t="s">
        <v>225</v>
      </c>
      <c r="L110" t="s">
        <v>876</v>
      </c>
      <c r="M110" t="s">
        <v>99</v>
      </c>
      <c r="N110" t="s">
        <v>506</v>
      </c>
      <c r="O110" t="s">
        <v>36</v>
      </c>
      <c r="P110" t="s">
        <v>149</v>
      </c>
      <c r="Q110" t="s">
        <v>507</v>
      </c>
      <c r="R110">
        <v>2001.86</v>
      </c>
      <c r="S110">
        <v>7</v>
      </c>
      <c r="T110">
        <v>0</v>
      </c>
      <c r="U110">
        <v>580.5394</v>
      </c>
      <c r="V110">
        <v>1421.3206</v>
      </c>
      <c r="W110">
        <v>2001.86</v>
      </c>
      <c r="X110">
        <v>4.924997217376572E-3</v>
      </c>
    </row>
    <row r="111" spans="1:24" x14ac:dyDescent="0.3">
      <c r="A111" t="s">
        <v>877</v>
      </c>
      <c r="B111" t="s">
        <v>878</v>
      </c>
      <c r="C111" s="1">
        <v>43444</v>
      </c>
      <c r="D111" s="1">
        <v>43449</v>
      </c>
      <c r="E111" t="s">
        <v>26</v>
      </c>
      <c r="F111" t="s">
        <v>879</v>
      </c>
      <c r="G111" t="s">
        <v>880</v>
      </c>
      <c r="H111" t="s">
        <v>29</v>
      </c>
      <c r="I111" t="s">
        <v>30</v>
      </c>
      <c r="J111" t="s">
        <v>126</v>
      </c>
      <c r="K111" t="s">
        <v>45</v>
      </c>
      <c r="L111" t="s">
        <v>127</v>
      </c>
      <c r="M111" t="s">
        <v>47</v>
      </c>
      <c r="N111" t="s">
        <v>881</v>
      </c>
      <c r="O111" t="s">
        <v>36</v>
      </c>
      <c r="P111" t="s">
        <v>149</v>
      </c>
      <c r="Q111" t="s">
        <v>882</v>
      </c>
      <c r="R111">
        <v>321.56799999999998</v>
      </c>
      <c r="S111">
        <v>2</v>
      </c>
      <c r="T111">
        <v>0.2</v>
      </c>
      <c r="U111">
        <v>28.1372</v>
      </c>
      <c r="V111">
        <v>293.43079999999998</v>
      </c>
      <c r="W111">
        <v>257.25439999999998</v>
      </c>
      <c r="X111">
        <v>6.8159170748265012E-3</v>
      </c>
    </row>
    <row r="112" spans="1:24" x14ac:dyDescent="0.3">
      <c r="A112" t="s">
        <v>883</v>
      </c>
      <c r="B112" t="s">
        <v>884</v>
      </c>
      <c r="C112" s="1">
        <v>43354</v>
      </c>
      <c r="D112" s="1">
        <v>43360</v>
      </c>
      <c r="E112" t="s">
        <v>54</v>
      </c>
      <c r="F112" t="s">
        <v>885</v>
      </c>
      <c r="G112" t="s">
        <v>886</v>
      </c>
      <c r="H112" t="s">
        <v>29</v>
      </c>
      <c r="I112" t="s">
        <v>30</v>
      </c>
      <c r="J112" t="s">
        <v>887</v>
      </c>
      <c r="K112" t="s">
        <v>45</v>
      </c>
      <c r="L112" t="s">
        <v>888</v>
      </c>
      <c r="M112" t="s">
        <v>47</v>
      </c>
      <c r="N112" t="s">
        <v>889</v>
      </c>
      <c r="O112" t="s">
        <v>49</v>
      </c>
      <c r="P112" t="s">
        <v>79</v>
      </c>
      <c r="Q112" t="s">
        <v>890</v>
      </c>
      <c r="R112">
        <v>7.61</v>
      </c>
      <c r="S112">
        <v>1</v>
      </c>
      <c r="T112">
        <v>0</v>
      </c>
      <c r="U112">
        <v>3.5767000000000002</v>
      </c>
      <c r="V112">
        <v>4.0333000000000006</v>
      </c>
      <c r="W112">
        <v>7.61</v>
      </c>
      <c r="X112">
        <v>0.24793593335482109</v>
      </c>
    </row>
    <row r="113" spans="1:24" x14ac:dyDescent="0.3">
      <c r="A113" t="s">
        <v>891</v>
      </c>
      <c r="B113" t="s">
        <v>892</v>
      </c>
      <c r="C113" s="1">
        <v>43444</v>
      </c>
      <c r="D113" s="1">
        <v>43447</v>
      </c>
      <c r="E113" t="s">
        <v>180</v>
      </c>
      <c r="F113" t="s">
        <v>893</v>
      </c>
      <c r="G113" t="s">
        <v>894</v>
      </c>
      <c r="H113" t="s">
        <v>29</v>
      </c>
      <c r="I113" t="s">
        <v>30</v>
      </c>
      <c r="J113" t="s">
        <v>261</v>
      </c>
      <c r="K113" t="s">
        <v>262</v>
      </c>
      <c r="L113" t="s">
        <v>263</v>
      </c>
      <c r="M113" t="s">
        <v>147</v>
      </c>
      <c r="N113" t="s">
        <v>895</v>
      </c>
      <c r="O113" t="s">
        <v>49</v>
      </c>
      <c r="P113" t="s">
        <v>111</v>
      </c>
      <c r="Q113" t="s">
        <v>896</v>
      </c>
      <c r="R113">
        <v>80.58</v>
      </c>
      <c r="S113">
        <v>6</v>
      </c>
      <c r="T113">
        <v>0</v>
      </c>
      <c r="U113">
        <v>22.5624</v>
      </c>
      <c r="V113">
        <v>58.017600000000002</v>
      </c>
      <c r="W113">
        <v>80.58</v>
      </c>
      <c r="X113">
        <v>0.10341689418383387</v>
      </c>
    </row>
    <row r="114" spans="1:24" x14ac:dyDescent="0.3">
      <c r="A114" t="s">
        <v>897</v>
      </c>
      <c r="B114" t="s">
        <v>898</v>
      </c>
      <c r="C114" s="1">
        <v>43067</v>
      </c>
      <c r="D114" s="1">
        <v>43073</v>
      </c>
      <c r="E114" t="s">
        <v>54</v>
      </c>
      <c r="F114" t="s">
        <v>899</v>
      </c>
      <c r="G114" t="s">
        <v>900</v>
      </c>
      <c r="H114" t="s">
        <v>43</v>
      </c>
      <c r="I114" t="s">
        <v>30</v>
      </c>
      <c r="J114" t="s">
        <v>286</v>
      </c>
      <c r="K114" t="s">
        <v>202</v>
      </c>
      <c r="L114" t="s">
        <v>358</v>
      </c>
      <c r="M114" t="s">
        <v>99</v>
      </c>
      <c r="N114" t="s">
        <v>901</v>
      </c>
      <c r="O114" t="s">
        <v>36</v>
      </c>
      <c r="P114" t="s">
        <v>69</v>
      </c>
      <c r="Q114" t="s">
        <v>902</v>
      </c>
      <c r="R114">
        <v>12.132</v>
      </c>
      <c r="S114">
        <v>9</v>
      </c>
      <c r="T114">
        <v>0.6</v>
      </c>
      <c r="U114">
        <v>-8.4923999999999999</v>
      </c>
      <c r="V114">
        <v>20.624400000000001</v>
      </c>
      <c r="W114">
        <v>4.8528000000000002</v>
      </c>
      <c r="X114">
        <v>0.43637633094780937</v>
      </c>
    </row>
    <row r="115" spans="1:24" x14ac:dyDescent="0.3">
      <c r="A115" t="s">
        <v>903</v>
      </c>
      <c r="B115" t="s">
        <v>904</v>
      </c>
      <c r="C115" s="1">
        <v>43800</v>
      </c>
      <c r="D115" s="1">
        <v>43802</v>
      </c>
      <c r="E115" t="s">
        <v>26</v>
      </c>
      <c r="F115" t="s">
        <v>905</v>
      </c>
      <c r="G115" t="s">
        <v>906</v>
      </c>
      <c r="H115" t="s">
        <v>29</v>
      </c>
      <c r="I115" t="s">
        <v>30</v>
      </c>
      <c r="J115" t="s">
        <v>261</v>
      </c>
      <c r="K115" t="s">
        <v>262</v>
      </c>
      <c r="L115" t="s">
        <v>312</v>
      </c>
      <c r="M115" t="s">
        <v>147</v>
      </c>
      <c r="N115" t="s">
        <v>907</v>
      </c>
      <c r="O115" t="s">
        <v>186</v>
      </c>
      <c r="P115" t="s">
        <v>228</v>
      </c>
      <c r="Q115" t="s">
        <v>908</v>
      </c>
      <c r="R115">
        <v>20.37</v>
      </c>
      <c r="S115">
        <v>3</v>
      </c>
      <c r="T115">
        <v>0</v>
      </c>
      <c r="U115">
        <v>6.9257999999999997</v>
      </c>
      <c r="V115">
        <v>13.444200000000002</v>
      </c>
      <c r="W115">
        <v>20.37</v>
      </c>
      <c r="X115">
        <v>0.22314455304146022</v>
      </c>
    </row>
    <row r="116" spans="1:24" x14ac:dyDescent="0.3">
      <c r="A116" t="s">
        <v>909</v>
      </c>
      <c r="B116" t="s">
        <v>910</v>
      </c>
      <c r="C116" s="1">
        <v>43624</v>
      </c>
      <c r="D116" s="1">
        <v>43628</v>
      </c>
      <c r="E116" t="s">
        <v>54</v>
      </c>
      <c r="F116" t="s">
        <v>911</v>
      </c>
      <c r="G116" t="s">
        <v>912</v>
      </c>
      <c r="H116" t="s">
        <v>43</v>
      </c>
      <c r="I116" t="s">
        <v>30</v>
      </c>
      <c r="J116" t="s">
        <v>568</v>
      </c>
      <c r="K116" t="s">
        <v>97</v>
      </c>
      <c r="L116" t="s">
        <v>913</v>
      </c>
      <c r="M116" t="s">
        <v>99</v>
      </c>
      <c r="N116" t="s">
        <v>914</v>
      </c>
      <c r="O116" t="s">
        <v>49</v>
      </c>
      <c r="P116" t="s">
        <v>101</v>
      </c>
      <c r="Q116" t="s">
        <v>915</v>
      </c>
      <c r="R116">
        <v>1.6240000000000001</v>
      </c>
      <c r="S116">
        <v>2</v>
      </c>
      <c r="T116">
        <v>0.8</v>
      </c>
      <c r="U116">
        <v>-4.4660000000000002</v>
      </c>
      <c r="V116">
        <v>6.09</v>
      </c>
      <c r="W116">
        <v>0.32479999999999998</v>
      </c>
      <c r="X116">
        <v>0.32840722495894908</v>
      </c>
    </row>
    <row r="117" spans="1:24" x14ac:dyDescent="0.3">
      <c r="A117" t="s">
        <v>916</v>
      </c>
      <c r="B117" t="s">
        <v>917</v>
      </c>
      <c r="C117" s="1">
        <v>42632</v>
      </c>
      <c r="D117" s="1">
        <v>42634</v>
      </c>
      <c r="E117" t="s">
        <v>26</v>
      </c>
      <c r="F117" t="s">
        <v>918</v>
      </c>
      <c r="G117" t="s">
        <v>919</v>
      </c>
      <c r="H117" t="s">
        <v>43</v>
      </c>
      <c r="I117" t="s">
        <v>30</v>
      </c>
      <c r="J117" t="s">
        <v>174</v>
      </c>
      <c r="K117" t="s">
        <v>97</v>
      </c>
      <c r="L117" t="s">
        <v>676</v>
      </c>
      <c r="M117" t="s">
        <v>99</v>
      </c>
      <c r="N117" t="s">
        <v>920</v>
      </c>
      <c r="O117" t="s">
        <v>186</v>
      </c>
      <c r="P117" t="s">
        <v>921</v>
      </c>
      <c r="Q117" t="s">
        <v>922</v>
      </c>
      <c r="R117">
        <v>3059.982</v>
      </c>
      <c r="S117">
        <v>3</v>
      </c>
      <c r="T117">
        <v>0.4</v>
      </c>
      <c r="U117">
        <v>-509.99700000000001</v>
      </c>
      <c r="V117">
        <v>3569.9789999999998</v>
      </c>
      <c r="W117">
        <v>1835.9892</v>
      </c>
      <c r="X117">
        <v>8.4034107763659115E-4</v>
      </c>
    </row>
    <row r="118" spans="1:24" x14ac:dyDescent="0.3">
      <c r="A118" t="s">
        <v>923</v>
      </c>
      <c r="B118" t="s">
        <v>924</v>
      </c>
      <c r="C118" s="1">
        <v>43257</v>
      </c>
      <c r="D118" s="1">
        <v>43264</v>
      </c>
      <c r="E118" t="s">
        <v>54</v>
      </c>
      <c r="F118" t="s">
        <v>925</v>
      </c>
      <c r="G118" t="s">
        <v>926</v>
      </c>
      <c r="H118" t="s">
        <v>29</v>
      </c>
      <c r="I118" t="s">
        <v>30</v>
      </c>
      <c r="J118" t="s">
        <v>286</v>
      </c>
      <c r="K118" t="s">
        <v>202</v>
      </c>
      <c r="L118" t="s">
        <v>287</v>
      </c>
      <c r="M118" t="s">
        <v>99</v>
      </c>
      <c r="N118" t="s">
        <v>927</v>
      </c>
      <c r="O118" t="s">
        <v>186</v>
      </c>
      <c r="P118" t="s">
        <v>187</v>
      </c>
      <c r="Q118" t="s">
        <v>928</v>
      </c>
      <c r="R118">
        <v>328.22399999999999</v>
      </c>
      <c r="S118">
        <v>4</v>
      </c>
      <c r="T118">
        <v>0.2</v>
      </c>
      <c r="U118">
        <v>28.7196</v>
      </c>
      <c r="V118">
        <v>299.50439999999998</v>
      </c>
      <c r="W118">
        <v>262.57920000000001</v>
      </c>
      <c r="X118">
        <v>1.3355396448265869E-2</v>
      </c>
    </row>
    <row r="119" spans="1:24" x14ac:dyDescent="0.3">
      <c r="A119" t="s">
        <v>929</v>
      </c>
      <c r="B119" t="s">
        <v>930</v>
      </c>
      <c r="C119" s="1">
        <v>43049</v>
      </c>
      <c r="D119" s="1">
        <v>43054</v>
      </c>
      <c r="E119" t="s">
        <v>54</v>
      </c>
      <c r="F119" t="s">
        <v>931</v>
      </c>
      <c r="G119" t="s">
        <v>932</v>
      </c>
      <c r="H119" t="s">
        <v>29</v>
      </c>
      <c r="I119" t="s">
        <v>30</v>
      </c>
      <c r="J119" t="s">
        <v>933</v>
      </c>
      <c r="K119" t="s">
        <v>45</v>
      </c>
      <c r="L119" t="s">
        <v>934</v>
      </c>
      <c r="M119" t="s">
        <v>47</v>
      </c>
      <c r="N119" t="s">
        <v>935</v>
      </c>
      <c r="O119" t="s">
        <v>186</v>
      </c>
      <c r="P119" t="s">
        <v>228</v>
      </c>
      <c r="Q119" t="s">
        <v>936</v>
      </c>
      <c r="R119">
        <v>79.900000000000006</v>
      </c>
      <c r="S119">
        <v>2</v>
      </c>
      <c r="T119">
        <v>0</v>
      </c>
      <c r="U119">
        <v>35.155999999999999</v>
      </c>
      <c r="V119">
        <v>44.744000000000007</v>
      </c>
      <c r="W119">
        <v>79.900000000000006</v>
      </c>
      <c r="X119">
        <v>4.4698730556052203E-2</v>
      </c>
    </row>
    <row r="120" spans="1:24" x14ac:dyDescent="0.3">
      <c r="A120" t="s">
        <v>937</v>
      </c>
      <c r="B120" t="s">
        <v>938</v>
      </c>
      <c r="C120" s="1">
        <v>43632</v>
      </c>
      <c r="D120" s="1">
        <v>43636</v>
      </c>
      <c r="E120" t="s">
        <v>54</v>
      </c>
      <c r="F120" t="s">
        <v>939</v>
      </c>
      <c r="G120" t="s">
        <v>940</v>
      </c>
      <c r="H120" t="s">
        <v>43</v>
      </c>
      <c r="I120" t="s">
        <v>30</v>
      </c>
      <c r="J120" t="s">
        <v>941</v>
      </c>
      <c r="K120" t="s">
        <v>76</v>
      </c>
      <c r="L120" t="s">
        <v>942</v>
      </c>
      <c r="M120" t="s">
        <v>34</v>
      </c>
      <c r="N120" t="s">
        <v>943</v>
      </c>
      <c r="O120" t="s">
        <v>49</v>
      </c>
      <c r="P120" t="s">
        <v>129</v>
      </c>
      <c r="Q120" t="s">
        <v>944</v>
      </c>
      <c r="R120">
        <v>14.016</v>
      </c>
      <c r="S120">
        <v>3</v>
      </c>
      <c r="T120">
        <v>0.2</v>
      </c>
      <c r="U120">
        <v>4.7304000000000004</v>
      </c>
      <c r="V120">
        <v>9.2855999999999987</v>
      </c>
      <c r="W120">
        <v>11.212800000000001</v>
      </c>
      <c r="X120">
        <v>0.32308089945722412</v>
      </c>
    </row>
    <row r="121" spans="1:24" x14ac:dyDescent="0.3">
      <c r="A121" t="s">
        <v>945</v>
      </c>
      <c r="B121" t="s">
        <v>946</v>
      </c>
      <c r="C121" s="1">
        <v>43808</v>
      </c>
      <c r="D121" s="1">
        <v>43812</v>
      </c>
      <c r="E121" t="s">
        <v>54</v>
      </c>
      <c r="F121" t="s">
        <v>947</v>
      </c>
      <c r="G121" t="s">
        <v>948</v>
      </c>
      <c r="H121" t="s">
        <v>43</v>
      </c>
      <c r="I121" t="s">
        <v>30</v>
      </c>
      <c r="J121" t="s">
        <v>949</v>
      </c>
      <c r="K121" t="s">
        <v>476</v>
      </c>
      <c r="L121" t="s">
        <v>950</v>
      </c>
      <c r="M121" t="s">
        <v>147</v>
      </c>
      <c r="N121" t="s">
        <v>951</v>
      </c>
      <c r="O121" t="s">
        <v>49</v>
      </c>
      <c r="P121" t="s">
        <v>111</v>
      </c>
      <c r="Q121" t="s">
        <v>952</v>
      </c>
      <c r="R121">
        <v>37.207999999999998</v>
      </c>
      <c r="S121">
        <v>1</v>
      </c>
      <c r="T121">
        <v>0.2</v>
      </c>
      <c r="U121">
        <v>-7.4416000000000002</v>
      </c>
      <c r="V121">
        <v>44.6496</v>
      </c>
      <c r="W121">
        <v>29.766400000000001</v>
      </c>
      <c r="X121">
        <v>2.2396617214935858E-2</v>
      </c>
    </row>
    <row r="122" spans="1:24" x14ac:dyDescent="0.3">
      <c r="A122" t="s">
        <v>953</v>
      </c>
      <c r="B122" t="s">
        <v>954</v>
      </c>
      <c r="C122" s="1">
        <v>43827</v>
      </c>
      <c r="D122" s="1">
        <v>43832</v>
      </c>
      <c r="E122" t="s">
        <v>26</v>
      </c>
      <c r="F122" t="s">
        <v>955</v>
      </c>
      <c r="G122" t="s">
        <v>956</v>
      </c>
      <c r="H122" t="s">
        <v>43</v>
      </c>
      <c r="I122" t="s">
        <v>30</v>
      </c>
      <c r="J122" t="s">
        <v>126</v>
      </c>
      <c r="K122" t="s">
        <v>45</v>
      </c>
      <c r="L122" t="s">
        <v>957</v>
      </c>
      <c r="M122" t="s">
        <v>47</v>
      </c>
      <c r="N122" t="s">
        <v>958</v>
      </c>
      <c r="O122" t="s">
        <v>49</v>
      </c>
      <c r="P122" t="s">
        <v>111</v>
      </c>
      <c r="Q122" t="s">
        <v>959</v>
      </c>
      <c r="R122">
        <v>725.84</v>
      </c>
      <c r="S122">
        <v>4</v>
      </c>
      <c r="T122">
        <v>0</v>
      </c>
      <c r="U122">
        <v>210.49359999999999</v>
      </c>
      <c r="V122">
        <v>515.34640000000002</v>
      </c>
      <c r="W122">
        <v>725.84</v>
      </c>
      <c r="X122">
        <v>7.7617695592712005E-3</v>
      </c>
    </row>
    <row r="123" spans="1:24" x14ac:dyDescent="0.3">
      <c r="A123" t="s">
        <v>960</v>
      </c>
      <c r="B123" t="s">
        <v>961</v>
      </c>
      <c r="C123" s="1">
        <v>43724</v>
      </c>
      <c r="D123" s="1">
        <v>43725</v>
      </c>
      <c r="E123" t="s">
        <v>180</v>
      </c>
      <c r="F123" t="s">
        <v>962</v>
      </c>
      <c r="G123" t="s">
        <v>963</v>
      </c>
      <c r="H123" t="s">
        <v>43</v>
      </c>
      <c r="I123" t="s">
        <v>30</v>
      </c>
      <c r="J123" t="s">
        <v>964</v>
      </c>
      <c r="K123" t="s">
        <v>45</v>
      </c>
      <c r="L123" t="s">
        <v>965</v>
      </c>
      <c r="M123" t="s">
        <v>47</v>
      </c>
      <c r="N123" t="s">
        <v>966</v>
      </c>
      <c r="O123" t="s">
        <v>49</v>
      </c>
      <c r="P123" t="s">
        <v>79</v>
      </c>
      <c r="Q123" t="s">
        <v>967</v>
      </c>
      <c r="R123">
        <v>8.82</v>
      </c>
      <c r="S123">
        <v>2</v>
      </c>
      <c r="T123">
        <v>0</v>
      </c>
      <c r="U123">
        <v>4.0571999999999999</v>
      </c>
      <c r="V123">
        <v>4.7628000000000004</v>
      </c>
      <c r="W123">
        <v>8.82</v>
      </c>
      <c r="X123">
        <v>0.41992105484168973</v>
      </c>
    </row>
    <row r="124" spans="1:24" x14ac:dyDescent="0.3">
      <c r="A124" t="s">
        <v>968</v>
      </c>
      <c r="B124" t="s">
        <v>969</v>
      </c>
      <c r="C124" s="1">
        <v>43751</v>
      </c>
      <c r="D124" s="1">
        <v>43755</v>
      </c>
      <c r="E124" t="s">
        <v>54</v>
      </c>
      <c r="F124" t="s">
        <v>970</v>
      </c>
      <c r="G124" t="s">
        <v>971</v>
      </c>
      <c r="H124" t="s">
        <v>43</v>
      </c>
      <c r="I124" t="s">
        <v>30</v>
      </c>
      <c r="J124" t="s">
        <v>144</v>
      </c>
      <c r="K124" t="s">
        <v>145</v>
      </c>
      <c r="L124" t="s">
        <v>146</v>
      </c>
      <c r="M124" t="s">
        <v>147</v>
      </c>
      <c r="N124" t="s">
        <v>972</v>
      </c>
      <c r="O124" t="s">
        <v>49</v>
      </c>
      <c r="P124" t="s">
        <v>79</v>
      </c>
      <c r="Q124" t="s">
        <v>973</v>
      </c>
      <c r="R124">
        <v>11.648</v>
      </c>
      <c r="S124">
        <v>2</v>
      </c>
      <c r="T124">
        <v>0.2</v>
      </c>
      <c r="U124">
        <v>4.0768000000000004</v>
      </c>
      <c r="V124">
        <v>7.5711999999999993</v>
      </c>
      <c r="W124">
        <v>9.3184000000000005</v>
      </c>
      <c r="X124">
        <v>0.26415891800507185</v>
      </c>
    </row>
    <row r="125" spans="1:24" x14ac:dyDescent="0.3">
      <c r="A125" t="s">
        <v>974</v>
      </c>
      <c r="B125" t="s">
        <v>975</v>
      </c>
      <c r="C125" s="1">
        <v>43041</v>
      </c>
      <c r="D125" s="1">
        <v>43045</v>
      </c>
      <c r="E125" t="s">
        <v>54</v>
      </c>
      <c r="F125" t="s">
        <v>976</v>
      </c>
      <c r="G125" t="s">
        <v>977</v>
      </c>
      <c r="H125" t="s">
        <v>29</v>
      </c>
      <c r="I125" t="s">
        <v>30</v>
      </c>
      <c r="J125" t="s">
        <v>44</v>
      </c>
      <c r="K125" t="s">
        <v>45</v>
      </c>
      <c r="L125" t="s">
        <v>279</v>
      </c>
      <c r="M125" t="s">
        <v>47</v>
      </c>
      <c r="N125" t="s">
        <v>978</v>
      </c>
      <c r="O125" t="s">
        <v>36</v>
      </c>
      <c r="P125" t="s">
        <v>61</v>
      </c>
      <c r="Q125" t="s">
        <v>979</v>
      </c>
      <c r="R125">
        <v>1038.8399999999999</v>
      </c>
      <c r="S125">
        <v>5</v>
      </c>
      <c r="T125">
        <v>0.2</v>
      </c>
      <c r="U125">
        <v>51.942</v>
      </c>
      <c r="V125">
        <v>986.89799999999991</v>
      </c>
      <c r="W125">
        <v>831.072</v>
      </c>
      <c r="X125">
        <v>5.0663797069200669E-3</v>
      </c>
    </row>
    <row r="126" spans="1:24" x14ac:dyDescent="0.3">
      <c r="A126" t="s">
        <v>980</v>
      </c>
      <c r="B126" t="s">
        <v>981</v>
      </c>
      <c r="C126" s="1">
        <v>43452</v>
      </c>
      <c r="D126" s="1">
        <v>43454</v>
      </c>
      <c r="E126" t="s">
        <v>26</v>
      </c>
      <c r="F126" t="s">
        <v>982</v>
      </c>
      <c r="G126" t="s">
        <v>983</v>
      </c>
      <c r="H126" t="s">
        <v>43</v>
      </c>
      <c r="I126" t="s">
        <v>30</v>
      </c>
      <c r="J126" t="s">
        <v>984</v>
      </c>
      <c r="K126" t="s">
        <v>58</v>
      </c>
      <c r="L126" t="s">
        <v>985</v>
      </c>
      <c r="M126" t="s">
        <v>34</v>
      </c>
      <c r="N126" t="s">
        <v>986</v>
      </c>
      <c r="O126" t="s">
        <v>49</v>
      </c>
      <c r="P126" t="s">
        <v>89</v>
      </c>
      <c r="Q126" t="s">
        <v>987</v>
      </c>
      <c r="R126">
        <v>254.05799999999999</v>
      </c>
      <c r="S126">
        <v>7</v>
      </c>
      <c r="T126">
        <v>0.7</v>
      </c>
      <c r="U126">
        <v>-169.37200000000001</v>
      </c>
      <c r="V126">
        <v>423.43</v>
      </c>
      <c r="W126">
        <v>76.217400000000012</v>
      </c>
      <c r="X126">
        <v>1.6531658125309968E-2</v>
      </c>
    </row>
    <row r="127" spans="1:24" x14ac:dyDescent="0.3">
      <c r="A127" t="s">
        <v>988</v>
      </c>
      <c r="B127" t="s">
        <v>989</v>
      </c>
      <c r="C127" s="1">
        <v>43424</v>
      </c>
      <c r="D127" s="1">
        <v>43428</v>
      </c>
      <c r="E127" t="s">
        <v>26</v>
      </c>
      <c r="F127" t="s">
        <v>990</v>
      </c>
      <c r="G127" t="s">
        <v>991</v>
      </c>
      <c r="H127" t="s">
        <v>95</v>
      </c>
      <c r="I127" t="s">
        <v>30</v>
      </c>
      <c r="J127" t="s">
        <v>475</v>
      </c>
      <c r="K127" t="s">
        <v>476</v>
      </c>
      <c r="L127" t="s">
        <v>477</v>
      </c>
      <c r="M127" t="s">
        <v>147</v>
      </c>
      <c r="N127" t="s">
        <v>992</v>
      </c>
      <c r="O127" t="s">
        <v>49</v>
      </c>
      <c r="P127" t="s">
        <v>265</v>
      </c>
      <c r="Q127" t="s">
        <v>993</v>
      </c>
      <c r="R127">
        <v>19.096</v>
      </c>
      <c r="S127">
        <v>7</v>
      </c>
      <c r="T127">
        <v>0.2</v>
      </c>
      <c r="U127">
        <v>6.6836000000000002</v>
      </c>
      <c r="V127">
        <v>12.4124</v>
      </c>
      <c r="W127">
        <v>15.276800000000001</v>
      </c>
      <c r="X127">
        <v>0.56395217685540266</v>
      </c>
    </row>
    <row r="128" spans="1:24" x14ac:dyDescent="0.3">
      <c r="A128" t="s">
        <v>994</v>
      </c>
      <c r="B128" t="s">
        <v>995</v>
      </c>
      <c r="C128" s="1">
        <v>42730</v>
      </c>
      <c r="D128" s="1">
        <v>42732</v>
      </c>
      <c r="E128" t="s">
        <v>180</v>
      </c>
      <c r="F128" t="s">
        <v>996</v>
      </c>
      <c r="G128" t="s">
        <v>997</v>
      </c>
      <c r="H128" t="s">
        <v>43</v>
      </c>
      <c r="I128" t="s">
        <v>30</v>
      </c>
      <c r="J128" t="s">
        <v>998</v>
      </c>
      <c r="K128" t="s">
        <v>435</v>
      </c>
      <c r="L128" t="s">
        <v>999</v>
      </c>
      <c r="M128" t="s">
        <v>47</v>
      </c>
      <c r="N128" t="s">
        <v>1000</v>
      </c>
      <c r="O128" t="s">
        <v>36</v>
      </c>
      <c r="P128" t="s">
        <v>69</v>
      </c>
      <c r="Q128" t="s">
        <v>1001</v>
      </c>
      <c r="R128">
        <v>300.416</v>
      </c>
      <c r="S128">
        <v>8</v>
      </c>
      <c r="T128">
        <v>0.2</v>
      </c>
      <c r="U128">
        <v>78.859200000000001</v>
      </c>
      <c r="V128">
        <v>221.55680000000001</v>
      </c>
      <c r="W128">
        <v>240.33280000000002</v>
      </c>
      <c r="X128">
        <v>3.6108122160998894E-2</v>
      </c>
    </row>
    <row r="129" spans="1:24" x14ac:dyDescent="0.3">
      <c r="A129" t="s">
        <v>1002</v>
      </c>
      <c r="B129" t="s">
        <v>1003</v>
      </c>
      <c r="C129" s="1">
        <v>42859</v>
      </c>
      <c r="D129" s="1">
        <v>42864</v>
      </c>
      <c r="E129" t="s">
        <v>26</v>
      </c>
      <c r="F129" t="s">
        <v>1004</v>
      </c>
      <c r="G129" t="s">
        <v>1005</v>
      </c>
      <c r="H129" t="s">
        <v>43</v>
      </c>
      <c r="I129" t="s">
        <v>30</v>
      </c>
      <c r="J129" t="s">
        <v>261</v>
      </c>
      <c r="K129" t="s">
        <v>262</v>
      </c>
      <c r="L129" t="s">
        <v>263</v>
      </c>
      <c r="M129" t="s">
        <v>147</v>
      </c>
      <c r="N129" t="s">
        <v>1006</v>
      </c>
      <c r="O129" t="s">
        <v>36</v>
      </c>
      <c r="P129" t="s">
        <v>69</v>
      </c>
      <c r="Q129" t="s">
        <v>1007</v>
      </c>
      <c r="R129">
        <v>26.8</v>
      </c>
      <c r="S129">
        <v>2</v>
      </c>
      <c r="T129">
        <v>0</v>
      </c>
      <c r="U129">
        <v>12.864000000000001</v>
      </c>
      <c r="V129">
        <v>13.936</v>
      </c>
      <c r="W129">
        <v>26.8</v>
      </c>
      <c r="X129">
        <v>0.14351320321469574</v>
      </c>
    </row>
    <row r="130" spans="1:24" x14ac:dyDescent="0.3">
      <c r="A130" t="s">
        <v>1008</v>
      </c>
      <c r="B130" t="s">
        <v>1009</v>
      </c>
      <c r="C130" s="1">
        <v>42522</v>
      </c>
      <c r="D130" s="1">
        <v>42527</v>
      </c>
      <c r="E130" t="s">
        <v>54</v>
      </c>
      <c r="F130" t="s">
        <v>1010</v>
      </c>
      <c r="G130" t="s">
        <v>1011</v>
      </c>
      <c r="H130" t="s">
        <v>95</v>
      </c>
      <c r="I130" t="s">
        <v>30</v>
      </c>
      <c r="J130" t="s">
        <v>1012</v>
      </c>
      <c r="K130" t="s">
        <v>751</v>
      </c>
      <c r="L130" t="s">
        <v>1013</v>
      </c>
      <c r="M130" t="s">
        <v>147</v>
      </c>
      <c r="N130" t="s">
        <v>1014</v>
      </c>
      <c r="O130" t="s">
        <v>49</v>
      </c>
      <c r="P130" t="s">
        <v>89</v>
      </c>
      <c r="Q130" t="s">
        <v>1015</v>
      </c>
      <c r="R130">
        <v>45.48</v>
      </c>
      <c r="S130">
        <v>3</v>
      </c>
      <c r="T130">
        <v>0</v>
      </c>
      <c r="U130">
        <v>20.9208</v>
      </c>
      <c r="V130">
        <v>24.559199999999997</v>
      </c>
      <c r="W130">
        <v>45.48</v>
      </c>
      <c r="X130">
        <v>0.12215381608521451</v>
      </c>
    </row>
    <row r="131" spans="1:24" x14ac:dyDescent="0.3">
      <c r="A131" t="s">
        <v>1016</v>
      </c>
      <c r="B131" t="s">
        <v>1017</v>
      </c>
      <c r="C131" s="1">
        <v>43570</v>
      </c>
      <c r="D131" s="1">
        <v>43572</v>
      </c>
      <c r="E131" t="s">
        <v>180</v>
      </c>
      <c r="F131" t="s">
        <v>1018</v>
      </c>
      <c r="G131" t="s">
        <v>1019</v>
      </c>
      <c r="H131" t="s">
        <v>29</v>
      </c>
      <c r="I131" t="s">
        <v>30</v>
      </c>
      <c r="J131" t="s">
        <v>1020</v>
      </c>
      <c r="K131" t="s">
        <v>304</v>
      </c>
      <c r="L131" t="s">
        <v>1021</v>
      </c>
      <c r="M131" t="s">
        <v>34</v>
      </c>
      <c r="N131" t="s">
        <v>1022</v>
      </c>
      <c r="O131" t="s">
        <v>49</v>
      </c>
      <c r="P131" t="s">
        <v>129</v>
      </c>
      <c r="Q131" t="s">
        <v>1023</v>
      </c>
      <c r="R131">
        <v>4.8899999999999997</v>
      </c>
      <c r="S131">
        <v>1</v>
      </c>
      <c r="T131">
        <v>0</v>
      </c>
      <c r="U131">
        <v>2.0049000000000001</v>
      </c>
      <c r="V131">
        <v>2.8850999999999996</v>
      </c>
      <c r="W131">
        <v>4.8899999999999997</v>
      </c>
      <c r="X131">
        <v>0.34660843644934325</v>
      </c>
    </row>
    <row r="132" spans="1:24" x14ac:dyDescent="0.3">
      <c r="A132" t="s">
        <v>1024</v>
      </c>
      <c r="B132" t="s">
        <v>1025</v>
      </c>
      <c r="C132" s="1">
        <v>43355</v>
      </c>
      <c r="D132" s="1">
        <v>43357</v>
      </c>
      <c r="E132" t="s">
        <v>26</v>
      </c>
      <c r="F132" t="s">
        <v>1026</v>
      </c>
      <c r="G132" t="s">
        <v>1027</v>
      </c>
      <c r="H132" t="s">
        <v>43</v>
      </c>
      <c r="I132" t="s">
        <v>30</v>
      </c>
      <c r="J132" t="s">
        <v>1028</v>
      </c>
      <c r="K132" t="s">
        <v>435</v>
      </c>
      <c r="L132" t="s">
        <v>1029</v>
      </c>
      <c r="M132" t="s">
        <v>47</v>
      </c>
      <c r="N132" t="s">
        <v>1030</v>
      </c>
      <c r="O132" t="s">
        <v>36</v>
      </c>
      <c r="P132" t="s">
        <v>69</v>
      </c>
      <c r="Q132" t="s">
        <v>1031</v>
      </c>
      <c r="R132">
        <v>15.135999999999999</v>
      </c>
      <c r="S132">
        <v>4</v>
      </c>
      <c r="T132">
        <v>0.2</v>
      </c>
      <c r="U132">
        <v>3.5948000000000002</v>
      </c>
      <c r="V132">
        <v>11.5412</v>
      </c>
      <c r="W132">
        <v>12.1088</v>
      </c>
      <c r="X132">
        <v>0.34658441063320972</v>
      </c>
    </row>
    <row r="133" spans="1:24" x14ac:dyDescent="0.3">
      <c r="A133" t="s">
        <v>1032</v>
      </c>
      <c r="B133" t="s">
        <v>1033</v>
      </c>
      <c r="C133" s="1">
        <v>42640</v>
      </c>
      <c r="D133" s="1">
        <v>42646</v>
      </c>
      <c r="E133" t="s">
        <v>54</v>
      </c>
      <c r="F133" t="s">
        <v>1034</v>
      </c>
      <c r="G133" t="s">
        <v>1035</v>
      </c>
      <c r="H133" t="s">
        <v>43</v>
      </c>
      <c r="I133" t="s">
        <v>30</v>
      </c>
      <c r="J133" t="s">
        <v>1036</v>
      </c>
      <c r="K133" t="s">
        <v>751</v>
      </c>
      <c r="L133" t="s">
        <v>1037</v>
      </c>
      <c r="M133" t="s">
        <v>147</v>
      </c>
      <c r="N133" t="s">
        <v>1038</v>
      </c>
      <c r="O133" t="s">
        <v>36</v>
      </c>
      <c r="P133" t="s">
        <v>69</v>
      </c>
      <c r="Q133" t="s">
        <v>1039</v>
      </c>
      <c r="R133">
        <v>87.54</v>
      </c>
      <c r="S133">
        <v>3</v>
      </c>
      <c r="T133">
        <v>0</v>
      </c>
      <c r="U133">
        <v>37.642200000000003</v>
      </c>
      <c r="V133">
        <v>49.897800000000004</v>
      </c>
      <c r="W133">
        <v>87.54</v>
      </c>
      <c r="X133">
        <v>6.0122891189591521E-2</v>
      </c>
    </row>
    <row r="134" spans="1:24" x14ac:dyDescent="0.3">
      <c r="A134" t="s">
        <v>1040</v>
      </c>
      <c r="B134" t="s">
        <v>1041</v>
      </c>
      <c r="C134" s="1">
        <v>42591</v>
      </c>
      <c r="D134" s="1">
        <v>42598</v>
      </c>
      <c r="E134" t="s">
        <v>54</v>
      </c>
      <c r="F134" t="s">
        <v>1042</v>
      </c>
      <c r="G134" t="s">
        <v>1043</v>
      </c>
      <c r="H134" t="s">
        <v>43</v>
      </c>
      <c r="I134" t="s">
        <v>30</v>
      </c>
      <c r="J134" t="s">
        <v>1044</v>
      </c>
      <c r="K134" t="s">
        <v>58</v>
      </c>
      <c r="L134" t="s">
        <v>1045</v>
      </c>
      <c r="M134" t="s">
        <v>34</v>
      </c>
      <c r="N134" t="s">
        <v>1046</v>
      </c>
      <c r="O134" t="s">
        <v>186</v>
      </c>
      <c r="P134" t="s">
        <v>187</v>
      </c>
      <c r="Q134" t="s">
        <v>1047</v>
      </c>
      <c r="R134">
        <v>178.38399999999999</v>
      </c>
      <c r="S134">
        <v>2</v>
      </c>
      <c r="T134">
        <v>0.2</v>
      </c>
      <c r="U134">
        <v>22.297999999999998</v>
      </c>
      <c r="V134">
        <v>156.08599999999998</v>
      </c>
      <c r="W134">
        <v>142.7072</v>
      </c>
      <c r="X134">
        <v>1.2813448996066273E-2</v>
      </c>
    </row>
    <row r="135" spans="1:24" x14ac:dyDescent="0.3">
      <c r="A135" t="s">
        <v>1048</v>
      </c>
      <c r="B135" t="s">
        <v>1049</v>
      </c>
      <c r="C135" s="1">
        <v>42732</v>
      </c>
      <c r="D135" s="1">
        <v>42734</v>
      </c>
      <c r="E135" t="s">
        <v>180</v>
      </c>
      <c r="F135" t="s">
        <v>1050</v>
      </c>
      <c r="G135" t="s">
        <v>1051</v>
      </c>
      <c r="H135" t="s">
        <v>43</v>
      </c>
      <c r="I135" t="s">
        <v>30</v>
      </c>
      <c r="J135" t="s">
        <v>144</v>
      </c>
      <c r="K135" t="s">
        <v>145</v>
      </c>
      <c r="L135" t="s">
        <v>1052</v>
      </c>
      <c r="M135" t="s">
        <v>147</v>
      </c>
      <c r="N135" t="s">
        <v>1053</v>
      </c>
      <c r="O135" t="s">
        <v>49</v>
      </c>
      <c r="P135" t="s">
        <v>129</v>
      </c>
      <c r="Q135" t="s">
        <v>1054</v>
      </c>
      <c r="R135">
        <v>99.135999999999996</v>
      </c>
      <c r="S135">
        <v>4</v>
      </c>
      <c r="T135">
        <v>0.2</v>
      </c>
      <c r="U135">
        <v>8.6744000000000003</v>
      </c>
      <c r="V135">
        <v>90.46159999999999</v>
      </c>
      <c r="W135">
        <v>79.308800000000005</v>
      </c>
      <c r="X135">
        <v>4.4217656994791167E-2</v>
      </c>
    </row>
    <row r="136" spans="1:24" x14ac:dyDescent="0.3">
      <c r="A136" t="s">
        <v>1055</v>
      </c>
      <c r="B136" t="s">
        <v>1056</v>
      </c>
      <c r="C136" s="1">
        <v>42678</v>
      </c>
      <c r="D136" s="1">
        <v>42683</v>
      </c>
      <c r="E136" t="s">
        <v>54</v>
      </c>
      <c r="F136" t="s">
        <v>1057</v>
      </c>
      <c r="G136" t="s">
        <v>1058</v>
      </c>
      <c r="H136" t="s">
        <v>95</v>
      </c>
      <c r="I136" t="s">
        <v>30</v>
      </c>
      <c r="J136" t="s">
        <v>261</v>
      </c>
      <c r="K136" t="s">
        <v>262</v>
      </c>
      <c r="L136" t="s">
        <v>263</v>
      </c>
      <c r="M136" t="s">
        <v>147</v>
      </c>
      <c r="N136" t="s">
        <v>1059</v>
      </c>
      <c r="O136" t="s">
        <v>36</v>
      </c>
      <c r="P136" t="s">
        <v>149</v>
      </c>
      <c r="Q136" t="s">
        <v>1060</v>
      </c>
      <c r="R136">
        <v>135.88200000000001</v>
      </c>
      <c r="S136">
        <v>1</v>
      </c>
      <c r="T136">
        <v>0.1</v>
      </c>
      <c r="U136">
        <v>24.1568</v>
      </c>
      <c r="V136">
        <v>111.7252</v>
      </c>
      <c r="W136">
        <v>122.2938</v>
      </c>
      <c r="X136">
        <v>8.950532198644532E-3</v>
      </c>
    </row>
    <row r="137" spans="1:24" x14ac:dyDescent="0.3">
      <c r="A137" t="s">
        <v>1061</v>
      </c>
      <c r="B137" t="s">
        <v>1062</v>
      </c>
      <c r="C137" s="1">
        <v>42632</v>
      </c>
      <c r="D137" s="1">
        <v>42637</v>
      </c>
      <c r="E137" t="s">
        <v>54</v>
      </c>
      <c r="F137" t="s">
        <v>1063</v>
      </c>
      <c r="G137" t="s">
        <v>1064</v>
      </c>
      <c r="H137" t="s">
        <v>43</v>
      </c>
      <c r="I137" t="s">
        <v>30</v>
      </c>
      <c r="J137" t="s">
        <v>1065</v>
      </c>
      <c r="K137" t="s">
        <v>45</v>
      </c>
      <c r="L137" t="s">
        <v>1066</v>
      </c>
      <c r="M137" t="s">
        <v>47</v>
      </c>
      <c r="N137" t="s">
        <v>1067</v>
      </c>
      <c r="O137" t="s">
        <v>49</v>
      </c>
      <c r="P137" t="s">
        <v>265</v>
      </c>
      <c r="Q137" t="s">
        <v>1068</v>
      </c>
      <c r="R137">
        <v>7.16</v>
      </c>
      <c r="S137">
        <v>2</v>
      </c>
      <c r="T137">
        <v>0</v>
      </c>
      <c r="U137">
        <v>3.58</v>
      </c>
      <c r="V137">
        <v>3.58</v>
      </c>
      <c r="W137">
        <v>7.16</v>
      </c>
      <c r="X137">
        <v>0.55865921787709494</v>
      </c>
    </row>
    <row r="138" spans="1:24" x14ac:dyDescent="0.3">
      <c r="A138" t="s">
        <v>1069</v>
      </c>
      <c r="B138" t="s">
        <v>1070</v>
      </c>
      <c r="C138" s="1">
        <v>43213</v>
      </c>
      <c r="D138" s="1">
        <v>43217</v>
      </c>
      <c r="E138" t="s">
        <v>54</v>
      </c>
      <c r="F138" t="s">
        <v>1071</v>
      </c>
      <c r="G138" t="s">
        <v>1072</v>
      </c>
      <c r="H138" t="s">
        <v>43</v>
      </c>
      <c r="I138" t="s">
        <v>30</v>
      </c>
      <c r="J138" t="s">
        <v>1073</v>
      </c>
      <c r="K138" t="s">
        <v>45</v>
      </c>
      <c r="L138" t="s">
        <v>1074</v>
      </c>
      <c r="M138" t="s">
        <v>47</v>
      </c>
      <c r="N138" t="s">
        <v>1075</v>
      </c>
      <c r="O138" t="s">
        <v>49</v>
      </c>
      <c r="P138" t="s">
        <v>89</v>
      </c>
      <c r="Q138" t="s">
        <v>1076</v>
      </c>
      <c r="R138">
        <v>251.52</v>
      </c>
      <c r="S138">
        <v>6</v>
      </c>
      <c r="T138">
        <v>0.2</v>
      </c>
      <c r="U138">
        <v>81.744</v>
      </c>
      <c r="V138">
        <v>169.77600000000001</v>
      </c>
      <c r="W138">
        <v>201.21600000000001</v>
      </c>
      <c r="X138">
        <v>3.5340684195646024E-2</v>
      </c>
    </row>
    <row r="139" spans="1:24" x14ac:dyDescent="0.3">
      <c r="A139" t="s">
        <v>1077</v>
      </c>
      <c r="B139" t="s">
        <v>1078</v>
      </c>
      <c r="C139" s="1">
        <v>43772</v>
      </c>
      <c r="D139" s="1">
        <v>43774</v>
      </c>
      <c r="E139" t="s">
        <v>26</v>
      </c>
      <c r="F139" t="s">
        <v>1079</v>
      </c>
      <c r="G139" t="s">
        <v>1080</v>
      </c>
      <c r="H139" t="s">
        <v>43</v>
      </c>
      <c r="I139" t="s">
        <v>30</v>
      </c>
      <c r="J139" t="s">
        <v>1081</v>
      </c>
      <c r="K139" t="s">
        <v>320</v>
      </c>
      <c r="L139" t="s">
        <v>1082</v>
      </c>
      <c r="M139" t="s">
        <v>34</v>
      </c>
      <c r="N139" t="s">
        <v>1083</v>
      </c>
      <c r="O139" t="s">
        <v>36</v>
      </c>
      <c r="P139" t="s">
        <v>69</v>
      </c>
      <c r="Q139" t="s">
        <v>1084</v>
      </c>
      <c r="R139">
        <v>15.992000000000001</v>
      </c>
      <c r="S139">
        <v>1</v>
      </c>
      <c r="T139">
        <v>0.2</v>
      </c>
      <c r="U139">
        <v>0.99950000000000006</v>
      </c>
      <c r="V139">
        <v>14.992500000000001</v>
      </c>
      <c r="W139">
        <v>12.793600000000001</v>
      </c>
      <c r="X139">
        <v>6.6700016675004165E-2</v>
      </c>
    </row>
    <row r="140" spans="1:24" x14ac:dyDescent="0.3">
      <c r="A140" t="s">
        <v>1085</v>
      </c>
      <c r="B140" t="s">
        <v>1086</v>
      </c>
      <c r="C140" s="1">
        <v>43342</v>
      </c>
      <c r="D140" s="1">
        <v>43344</v>
      </c>
      <c r="E140" t="s">
        <v>180</v>
      </c>
      <c r="F140" t="s">
        <v>1087</v>
      </c>
      <c r="G140" t="s">
        <v>1088</v>
      </c>
      <c r="H140" t="s">
        <v>29</v>
      </c>
      <c r="I140" t="s">
        <v>30</v>
      </c>
      <c r="J140" t="s">
        <v>144</v>
      </c>
      <c r="K140" t="s">
        <v>145</v>
      </c>
      <c r="L140" t="s">
        <v>1052</v>
      </c>
      <c r="M140" t="s">
        <v>147</v>
      </c>
      <c r="N140" t="s">
        <v>1089</v>
      </c>
      <c r="O140" t="s">
        <v>186</v>
      </c>
      <c r="P140" t="s">
        <v>187</v>
      </c>
      <c r="Q140" t="s">
        <v>1090</v>
      </c>
      <c r="R140">
        <v>290.89800000000002</v>
      </c>
      <c r="S140">
        <v>3</v>
      </c>
      <c r="T140">
        <v>0.4</v>
      </c>
      <c r="U140">
        <v>-67.876199999999997</v>
      </c>
      <c r="V140">
        <v>358.77420000000001</v>
      </c>
      <c r="W140">
        <v>174.53880000000001</v>
      </c>
      <c r="X140">
        <v>8.3618052803127989E-3</v>
      </c>
    </row>
    <row r="141" spans="1:24" x14ac:dyDescent="0.3">
      <c r="A141" t="s">
        <v>1091</v>
      </c>
      <c r="B141" t="s">
        <v>1092</v>
      </c>
      <c r="C141" s="1">
        <v>43215</v>
      </c>
      <c r="D141" s="1">
        <v>43219</v>
      </c>
      <c r="E141" t="s">
        <v>26</v>
      </c>
      <c r="F141" t="s">
        <v>1093</v>
      </c>
      <c r="G141" t="s">
        <v>1094</v>
      </c>
      <c r="H141" t="s">
        <v>29</v>
      </c>
      <c r="I141" t="s">
        <v>30</v>
      </c>
      <c r="J141" t="s">
        <v>144</v>
      </c>
      <c r="K141" t="s">
        <v>145</v>
      </c>
      <c r="L141" t="s">
        <v>634</v>
      </c>
      <c r="M141" t="s">
        <v>147</v>
      </c>
      <c r="N141" t="s">
        <v>1095</v>
      </c>
      <c r="O141" t="s">
        <v>186</v>
      </c>
      <c r="P141" t="s">
        <v>187</v>
      </c>
      <c r="Q141" t="s">
        <v>1096</v>
      </c>
      <c r="R141">
        <v>82.8</v>
      </c>
      <c r="S141">
        <v>2</v>
      </c>
      <c r="T141">
        <v>0.4</v>
      </c>
      <c r="U141">
        <v>-20.7</v>
      </c>
      <c r="V141">
        <v>103.5</v>
      </c>
      <c r="W141">
        <v>49.68</v>
      </c>
      <c r="X141">
        <v>1.932367149758454E-2</v>
      </c>
    </row>
    <row r="142" spans="1:24" x14ac:dyDescent="0.3">
      <c r="A142" t="s">
        <v>1097</v>
      </c>
      <c r="B142" t="s">
        <v>1098</v>
      </c>
      <c r="C142" s="1">
        <v>42979</v>
      </c>
      <c r="D142" s="1">
        <v>42982</v>
      </c>
      <c r="E142" t="s">
        <v>26</v>
      </c>
      <c r="F142" t="s">
        <v>1099</v>
      </c>
      <c r="G142" t="s">
        <v>1100</v>
      </c>
      <c r="H142" t="s">
        <v>29</v>
      </c>
      <c r="I142" t="s">
        <v>30</v>
      </c>
      <c r="J142" t="s">
        <v>44</v>
      </c>
      <c r="K142" t="s">
        <v>45</v>
      </c>
      <c r="L142" t="s">
        <v>627</v>
      </c>
      <c r="M142" t="s">
        <v>47</v>
      </c>
      <c r="N142" t="s">
        <v>1101</v>
      </c>
      <c r="O142" t="s">
        <v>49</v>
      </c>
      <c r="P142" t="s">
        <v>89</v>
      </c>
      <c r="Q142" t="s">
        <v>1102</v>
      </c>
      <c r="R142">
        <v>4.7519999999999998</v>
      </c>
      <c r="S142">
        <v>1</v>
      </c>
      <c r="T142">
        <v>0.2</v>
      </c>
      <c r="U142">
        <v>1.6037999999999999</v>
      </c>
      <c r="V142">
        <v>3.1482000000000001</v>
      </c>
      <c r="W142">
        <v>3.8016000000000001</v>
      </c>
      <c r="X142">
        <v>0.31764182707578931</v>
      </c>
    </row>
    <row r="143" spans="1:24" x14ac:dyDescent="0.3">
      <c r="A143" t="s">
        <v>1103</v>
      </c>
      <c r="B143" t="s">
        <v>1104</v>
      </c>
      <c r="C143" s="1">
        <v>42563</v>
      </c>
      <c r="D143" s="1">
        <v>42568</v>
      </c>
      <c r="E143" t="s">
        <v>54</v>
      </c>
      <c r="F143" t="s">
        <v>1105</v>
      </c>
      <c r="G143" t="s">
        <v>1106</v>
      </c>
      <c r="H143" t="s">
        <v>43</v>
      </c>
      <c r="I143" t="s">
        <v>30</v>
      </c>
      <c r="J143" t="s">
        <v>126</v>
      </c>
      <c r="K143" t="s">
        <v>45</v>
      </c>
      <c r="L143" t="s">
        <v>343</v>
      </c>
      <c r="M143" t="s">
        <v>47</v>
      </c>
      <c r="N143" t="s">
        <v>1107</v>
      </c>
      <c r="O143" t="s">
        <v>49</v>
      </c>
      <c r="P143" t="s">
        <v>89</v>
      </c>
      <c r="Q143" t="s">
        <v>1108</v>
      </c>
      <c r="R143">
        <v>7.7119999999999997</v>
      </c>
      <c r="S143">
        <v>2</v>
      </c>
      <c r="T143">
        <v>0.2</v>
      </c>
      <c r="U143">
        <v>2.7955999999999999</v>
      </c>
      <c r="V143">
        <v>4.9163999999999994</v>
      </c>
      <c r="W143">
        <v>6.1696</v>
      </c>
      <c r="X143">
        <v>0.40680172483931337</v>
      </c>
    </row>
    <row r="144" spans="1:24" x14ac:dyDescent="0.3">
      <c r="A144" t="s">
        <v>1109</v>
      </c>
      <c r="B144" t="s">
        <v>1110</v>
      </c>
      <c r="C144" s="1">
        <v>43631</v>
      </c>
      <c r="D144" s="1">
        <v>43635</v>
      </c>
      <c r="E144" t="s">
        <v>54</v>
      </c>
      <c r="F144" t="s">
        <v>1111</v>
      </c>
      <c r="G144" t="s">
        <v>1112</v>
      </c>
      <c r="H144" t="s">
        <v>29</v>
      </c>
      <c r="I144" t="s">
        <v>30</v>
      </c>
      <c r="J144" t="s">
        <v>126</v>
      </c>
      <c r="K144" t="s">
        <v>45</v>
      </c>
      <c r="L144" t="s">
        <v>343</v>
      </c>
      <c r="M144" t="s">
        <v>47</v>
      </c>
      <c r="N144" t="s">
        <v>533</v>
      </c>
      <c r="O144" t="s">
        <v>186</v>
      </c>
      <c r="P144" t="s">
        <v>187</v>
      </c>
      <c r="Q144" t="s">
        <v>534</v>
      </c>
      <c r="R144">
        <v>47.975999999999999</v>
      </c>
      <c r="S144">
        <v>3</v>
      </c>
      <c r="T144">
        <v>0.2</v>
      </c>
      <c r="U144">
        <v>4.7976000000000001</v>
      </c>
      <c r="V144">
        <v>43.178399999999996</v>
      </c>
      <c r="W144">
        <v>38.380800000000001</v>
      </c>
      <c r="X144">
        <v>6.9479184036462679E-2</v>
      </c>
    </row>
    <row r="145" spans="1:24" x14ac:dyDescent="0.3">
      <c r="A145" t="s">
        <v>1113</v>
      </c>
      <c r="B145" t="s">
        <v>1114</v>
      </c>
      <c r="C145" s="1">
        <v>43654</v>
      </c>
      <c r="D145" s="1">
        <v>43658</v>
      </c>
      <c r="E145" t="s">
        <v>54</v>
      </c>
      <c r="F145" t="s">
        <v>1115</v>
      </c>
      <c r="G145" t="s">
        <v>1116</v>
      </c>
      <c r="H145" t="s">
        <v>29</v>
      </c>
      <c r="I145" t="s">
        <v>30</v>
      </c>
      <c r="J145" t="s">
        <v>1117</v>
      </c>
      <c r="K145" t="s">
        <v>1118</v>
      </c>
      <c r="L145" t="s">
        <v>1119</v>
      </c>
      <c r="M145" t="s">
        <v>147</v>
      </c>
      <c r="N145" t="s">
        <v>1120</v>
      </c>
      <c r="O145" t="s">
        <v>49</v>
      </c>
      <c r="P145" t="s">
        <v>129</v>
      </c>
      <c r="Q145" t="s">
        <v>1121</v>
      </c>
      <c r="R145">
        <v>7.56</v>
      </c>
      <c r="S145">
        <v>3</v>
      </c>
      <c r="T145">
        <v>0</v>
      </c>
      <c r="U145">
        <v>3.0996000000000001</v>
      </c>
      <c r="V145">
        <v>4.4603999999999999</v>
      </c>
      <c r="W145">
        <v>7.56</v>
      </c>
      <c r="X145">
        <v>0.67258541834813024</v>
      </c>
    </row>
    <row r="146" spans="1:24" x14ac:dyDescent="0.3">
      <c r="A146" t="s">
        <v>1122</v>
      </c>
      <c r="B146" t="s">
        <v>1123</v>
      </c>
      <c r="C146" s="1">
        <v>43344</v>
      </c>
      <c r="D146" s="1">
        <v>43346</v>
      </c>
      <c r="E146" t="s">
        <v>180</v>
      </c>
      <c r="F146" t="s">
        <v>1124</v>
      </c>
      <c r="G146" t="s">
        <v>1125</v>
      </c>
      <c r="H146" t="s">
        <v>95</v>
      </c>
      <c r="I146" t="s">
        <v>30</v>
      </c>
      <c r="J146" t="s">
        <v>261</v>
      </c>
      <c r="K146" t="s">
        <v>262</v>
      </c>
      <c r="L146" t="s">
        <v>312</v>
      </c>
      <c r="M146" t="s">
        <v>147</v>
      </c>
      <c r="N146" t="s">
        <v>907</v>
      </c>
      <c r="O146" t="s">
        <v>186</v>
      </c>
      <c r="P146" t="s">
        <v>228</v>
      </c>
      <c r="Q146" t="s">
        <v>908</v>
      </c>
      <c r="R146">
        <v>6.79</v>
      </c>
      <c r="S146">
        <v>1</v>
      </c>
      <c r="T146">
        <v>0</v>
      </c>
      <c r="U146">
        <v>2.3086000000000002</v>
      </c>
      <c r="V146">
        <v>4.4813999999999998</v>
      </c>
      <c r="W146">
        <v>6.79</v>
      </c>
      <c r="X146">
        <v>0.22314455304146028</v>
      </c>
    </row>
    <row r="147" spans="1:24" x14ac:dyDescent="0.3">
      <c r="A147" t="s">
        <v>1126</v>
      </c>
      <c r="B147" t="s">
        <v>1127</v>
      </c>
      <c r="C147" s="1">
        <v>43198</v>
      </c>
      <c r="D147" s="1">
        <v>43203</v>
      </c>
      <c r="E147" t="s">
        <v>54</v>
      </c>
      <c r="F147" t="s">
        <v>1128</v>
      </c>
      <c r="G147" t="s">
        <v>1129</v>
      </c>
      <c r="H147" t="s">
        <v>29</v>
      </c>
      <c r="I147" t="s">
        <v>30</v>
      </c>
      <c r="J147" t="s">
        <v>261</v>
      </c>
      <c r="K147" t="s">
        <v>262</v>
      </c>
      <c r="L147" t="s">
        <v>459</v>
      </c>
      <c r="M147" t="s">
        <v>147</v>
      </c>
      <c r="N147" t="s">
        <v>1130</v>
      </c>
      <c r="O147" t="s">
        <v>36</v>
      </c>
      <c r="P147" t="s">
        <v>37</v>
      </c>
      <c r="Q147" t="s">
        <v>1131</v>
      </c>
      <c r="R147">
        <v>388.70400000000001</v>
      </c>
      <c r="S147">
        <v>6</v>
      </c>
      <c r="T147">
        <v>0.2</v>
      </c>
      <c r="U147">
        <v>-4.8587999999999996</v>
      </c>
      <c r="V147">
        <v>393.56279999999998</v>
      </c>
      <c r="W147">
        <v>310.96320000000003</v>
      </c>
      <c r="X147">
        <v>1.5245343309885997E-2</v>
      </c>
    </row>
    <row r="148" spans="1:24" x14ac:dyDescent="0.3">
      <c r="A148" t="s">
        <v>1132</v>
      </c>
      <c r="B148" t="s">
        <v>1133</v>
      </c>
      <c r="C148" s="1">
        <v>43532</v>
      </c>
      <c r="D148" s="1">
        <v>43535</v>
      </c>
      <c r="E148" t="s">
        <v>180</v>
      </c>
      <c r="F148" t="s">
        <v>1134</v>
      </c>
      <c r="G148" t="s">
        <v>1135</v>
      </c>
      <c r="H148" t="s">
        <v>43</v>
      </c>
      <c r="I148" t="s">
        <v>30</v>
      </c>
      <c r="J148" t="s">
        <v>475</v>
      </c>
      <c r="K148" t="s">
        <v>1136</v>
      </c>
      <c r="L148" t="s">
        <v>1137</v>
      </c>
      <c r="M148" t="s">
        <v>34</v>
      </c>
      <c r="N148" t="s">
        <v>1138</v>
      </c>
      <c r="O148" t="s">
        <v>49</v>
      </c>
      <c r="P148" t="s">
        <v>101</v>
      </c>
      <c r="Q148" t="s">
        <v>1139</v>
      </c>
      <c r="R148">
        <v>647.84</v>
      </c>
      <c r="S148">
        <v>8</v>
      </c>
      <c r="T148">
        <v>0</v>
      </c>
      <c r="U148">
        <v>168.4384</v>
      </c>
      <c r="V148">
        <v>479.40160000000003</v>
      </c>
      <c r="W148">
        <v>647.84</v>
      </c>
      <c r="X148">
        <v>1.6687470379740076E-2</v>
      </c>
    </row>
    <row r="149" spans="1:24" x14ac:dyDescent="0.3">
      <c r="A149" t="s">
        <v>1140</v>
      </c>
      <c r="B149" t="s">
        <v>1141</v>
      </c>
      <c r="C149" s="1">
        <v>43733</v>
      </c>
      <c r="D149" s="1">
        <v>43739</v>
      </c>
      <c r="E149" t="s">
        <v>54</v>
      </c>
      <c r="F149" t="s">
        <v>1142</v>
      </c>
      <c r="G149" t="s">
        <v>1143</v>
      </c>
      <c r="H149" t="s">
        <v>29</v>
      </c>
      <c r="I149" t="s">
        <v>30</v>
      </c>
      <c r="J149" t="s">
        <v>261</v>
      </c>
      <c r="K149" t="s">
        <v>262</v>
      </c>
      <c r="L149" t="s">
        <v>312</v>
      </c>
      <c r="M149" t="s">
        <v>147</v>
      </c>
      <c r="N149" t="s">
        <v>1144</v>
      </c>
      <c r="O149" t="s">
        <v>49</v>
      </c>
      <c r="P149" t="s">
        <v>50</v>
      </c>
      <c r="Q149" t="s">
        <v>1145</v>
      </c>
      <c r="R149">
        <v>20.7</v>
      </c>
      <c r="S149">
        <v>2</v>
      </c>
      <c r="T149">
        <v>0</v>
      </c>
      <c r="U149">
        <v>9.9359999999999999</v>
      </c>
      <c r="V149">
        <v>10.763999999999999</v>
      </c>
      <c r="W149">
        <v>20.7</v>
      </c>
      <c r="X149">
        <v>0.18580453363062061</v>
      </c>
    </row>
    <row r="150" spans="1:24" x14ac:dyDescent="0.3">
      <c r="A150" t="s">
        <v>1146</v>
      </c>
      <c r="B150" t="s">
        <v>1147</v>
      </c>
      <c r="C150" s="1">
        <v>42637</v>
      </c>
      <c r="D150" s="1">
        <v>42642</v>
      </c>
      <c r="E150" t="s">
        <v>54</v>
      </c>
      <c r="F150" t="s">
        <v>1148</v>
      </c>
      <c r="G150" t="s">
        <v>1149</v>
      </c>
      <c r="H150" t="s">
        <v>29</v>
      </c>
      <c r="I150" t="s">
        <v>30</v>
      </c>
      <c r="J150" t="s">
        <v>126</v>
      </c>
      <c r="K150" t="s">
        <v>45</v>
      </c>
      <c r="L150" t="s">
        <v>127</v>
      </c>
      <c r="M150" t="s">
        <v>47</v>
      </c>
      <c r="N150" t="s">
        <v>237</v>
      </c>
      <c r="O150" t="s">
        <v>49</v>
      </c>
      <c r="P150" t="s">
        <v>111</v>
      </c>
      <c r="Q150" t="s">
        <v>238</v>
      </c>
      <c r="R150">
        <v>211.96</v>
      </c>
      <c r="S150">
        <v>4</v>
      </c>
      <c r="T150">
        <v>0</v>
      </c>
      <c r="U150">
        <v>8.4784000000000006</v>
      </c>
      <c r="V150">
        <v>203.48160000000001</v>
      </c>
      <c r="W150">
        <v>211.96</v>
      </c>
      <c r="X150">
        <v>1.9657797068629301E-2</v>
      </c>
    </row>
    <row r="151" spans="1:24" x14ac:dyDescent="0.3">
      <c r="A151" t="s">
        <v>1150</v>
      </c>
      <c r="B151" t="s">
        <v>1151</v>
      </c>
      <c r="C151" s="1">
        <v>43394</v>
      </c>
      <c r="D151" s="1">
        <v>43394</v>
      </c>
      <c r="E151" t="s">
        <v>1152</v>
      </c>
      <c r="F151" t="s">
        <v>1153</v>
      </c>
      <c r="G151" t="s">
        <v>1154</v>
      </c>
      <c r="H151" t="s">
        <v>43</v>
      </c>
      <c r="I151" t="s">
        <v>30</v>
      </c>
      <c r="J151" t="s">
        <v>1155</v>
      </c>
      <c r="K151" t="s">
        <v>706</v>
      </c>
      <c r="L151" t="s">
        <v>1156</v>
      </c>
      <c r="M151" t="s">
        <v>147</v>
      </c>
      <c r="N151" t="s">
        <v>1157</v>
      </c>
      <c r="O151" t="s">
        <v>49</v>
      </c>
      <c r="P151" t="s">
        <v>89</v>
      </c>
      <c r="Q151" t="s">
        <v>1158</v>
      </c>
      <c r="R151">
        <v>23.2</v>
      </c>
      <c r="S151">
        <v>4</v>
      </c>
      <c r="T151">
        <v>0</v>
      </c>
      <c r="U151">
        <v>10.44</v>
      </c>
      <c r="V151">
        <v>12.76</v>
      </c>
      <c r="W151">
        <v>23.2</v>
      </c>
      <c r="X151">
        <v>0.31347962382445144</v>
      </c>
    </row>
    <row r="152" spans="1:24" x14ac:dyDescent="0.3">
      <c r="A152" t="s">
        <v>1159</v>
      </c>
      <c r="B152" t="s">
        <v>1160</v>
      </c>
      <c r="C152" s="1">
        <v>43614</v>
      </c>
      <c r="D152" s="1">
        <v>43620</v>
      </c>
      <c r="E152" t="s">
        <v>54</v>
      </c>
      <c r="F152" t="s">
        <v>1161</v>
      </c>
      <c r="G152" t="s">
        <v>1162</v>
      </c>
      <c r="H152" t="s">
        <v>29</v>
      </c>
      <c r="I152" t="s">
        <v>30</v>
      </c>
      <c r="J152" t="s">
        <v>1163</v>
      </c>
      <c r="K152" t="s">
        <v>97</v>
      </c>
      <c r="L152" t="s">
        <v>1164</v>
      </c>
      <c r="M152" t="s">
        <v>99</v>
      </c>
      <c r="N152" t="s">
        <v>1165</v>
      </c>
      <c r="O152" t="s">
        <v>49</v>
      </c>
      <c r="P152" t="s">
        <v>79</v>
      </c>
      <c r="Q152" t="s">
        <v>1166</v>
      </c>
      <c r="R152">
        <v>25.92</v>
      </c>
      <c r="S152">
        <v>5</v>
      </c>
      <c r="T152">
        <v>0.2</v>
      </c>
      <c r="U152">
        <v>9.3960000000000008</v>
      </c>
      <c r="V152">
        <v>16.524000000000001</v>
      </c>
      <c r="W152">
        <v>20.736000000000004</v>
      </c>
      <c r="X152">
        <v>0.30259017187121762</v>
      </c>
    </row>
    <row r="153" spans="1:24" x14ac:dyDescent="0.3">
      <c r="A153" t="s">
        <v>1167</v>
      </c>
      <c r="B153" t="s">
        <v>1168</v>
      </c>
      <c r="C153" s="1">
        <v>42574</v>
      </c>
      <c r="D153" s="1">
        <v>42578</v>
      </c>
      <c r="E153" t="s">
        <v>54</v>
      </c>
      <c r="F153" t="s">
        <v>1169</v>
      </c>
      <c r="G153" t="s">
        <v>1170</v>
      </c>
      <c r="H153" t="s">
        <v>29</v>
      </c>
      <c r="I153" t="s">
        <v>30</v>
      </c>
      <c r="J153" t="s">
        <v>1171</v>
      </c>
      <c r="K153" t="s">
        <v>295</v>
      </c>
      <c r="L153" t="s">
        <v>1172</v>
      </c>
      <c r="M153" t="s">
        <v>47</v>
      </c>
      <c r="N153" t="s">
        <v>1173</v>
      </c>
      <c r="O153" t="s">
        <v>49</v>
      </c>
      <c r="P153" t="s">
        <v>89</v>
      </c>
      <c r="Q153" t="s">
        <v>1174</v>
      </c>
      <c r="R153">
        <v>8.16</v>
      </c>
      <c r="S153">
        <v>5</v>
      </c>
      <c r="T153">
        <v>0.7</v>
      </c>
      <c r="U153">
        <v>-5.7119999999999997</v>
      </c>
      <c r="V153">
        <v>13.872</v>
      </c>
      <c r="W153">
        <v>2.4480000000000004</v>
      </c>
      <c r="X153">
        <v>0.36043829296424451</v>
      </c>
    </row>
    <row r="154" spans="1:24" x14ac:dyDescent="0.3">
      <c r="A154" t="s">
        <v>1175</v>
      </c>
      <c r="B154" t="s">
        <v>1176</v>
      </c>
      <c r="C154" s="1">
        <v>43371</v>
      </c>
      <c r="D154" s="1">
        <v>43374</v>
      </c>
      <c r="E154" t="s">
        <v>180</v>
      </c>
      <c r="F154" t="s">
        <v>1177</v>
      </c>
      <c r="G154" t="s">
        <v>1178</v>
      </c>
      <c r="H154" t="s">
        <v>43</v>
      </c>
      <c r="I154" t="s">
        <v>30</v>
      </c>
      <c r="J154" t="s">
        <v>1179</v>
      </c>
      <c r="K154" t="s">
        <v>202</v>
      </c>
      <c r="L154" t="s">
        <v>1180</v>
      </c>
      <c r="M154" t="s">
        <v>99</v>
      </c>
      <c r="N154" t="s">
        <v>1181</v>
      </c>
      <c r="O154" t="s">
        <v>49</v>
      </c>
      <c r="P154" t="s">
        <v>79</v>
      </c>
      <c r="Q154" t="s">
        <v>1182</v>
      </c>
      <c r="R154">
        <v>99.135999999999996</v>
      </c>
      <c r="S154">
        <v>4</v>
      </c>
      <c r="T154">
        <v>0.2</v>
      </c>
      <c r="U154">
        <v>30.98</v>
      </c>
      <c r="V154">
        <v>68.155999999999992</v>
      </c>
      <c r="W154">
        <v>79.308800000000005</v>
      </c>
      <c r="X154">
        <v>5.8688890193086457E-2</v>
      </c>
    </row>
    <row r="155" spans="1:24" x14ac:dyDescent="0.3">
      <c r="A155" t="s">
        <v>1183</v>
      </c>
      <c r="B155" t="s">
        <v>1184</v>
      </c>
      <c r="C155" s="1">
        <v>43704</v>
      </c>
      <c r="D155" s="1">
        <v>43709</v>
      </c>
      <c r="E155" t="s">
        <v>54</v>
      </c>
      <c r="F155" t="s">
        <v>1185</v>
      </c>
      <c r="G155" t="s">
        <v>1186</v>
      </c>
      <c r="H155" t="s">
        <v>43</v>
      </c>
      <c r="I155" t="s">
        <v>30</v>
      </c>
      <c r="J155" t="s">
        <v>582</v>
      </c>
      <c r="K155" t="s">
        <v>1118</v>
      </c>
      <c r="L155" t="s">
        <v>1187</v>
      </c>
      <c r="M155" t="s">
        <v>147</v>
      </c>
      <c r="N155" t="s">
        <v>1188</v>
      </c>
      <c r="O155" t="s">
        <v>36</v>
      </c>
      <c r="P155" t="s">
        <v>61</v>
      </c>
      <c r="Q155" t="s">
        <v>1189</v>
      </c>
      <c r="R155">
        <v>1488.424</v>
      </c>
      <c r="S155">
        <v>7</v>
      </c>
      <c r="T155">
        <v>0.3</v>
      </c>
      <c r="U155">
        <v>-297.6848</v>
      </c>
      <c r="V155">
        <v>1786.1088</v>
      </c>
      <c r="W155">
        <v>1041.8968</v>
      </c>
      <c r="X155">
        <v>3.9191341535297292E-3</v>
      </c>
    </row>
    <row r="156" spans="1:24" x14ac:dyDescent="0.3">
      <c r="A156" t="s">
        <v>1190</v>
      </c>
      <c r="B156" t="s">
        <v>1191</v>
      </c>
      <c r="C156" s="1">
        <v>42853</v>
      </c>
      <c r="D156" s="1">
        <v>42860</v>
      </c>
      <c r="E156" t="s">
        <v>54</v>
      </c>
      <c r="F156" t="s">
        <v>1192</v>
      </c>
      <c r="G156" t="s">
        <v>1193</v>
      </c>
      <c r="H156" t="s">
        <v>29</v>
      </c>
      <c r="I156" t="s">
        <v>30</v>
      </c>
      <c r="J156" t="s">
        <v>174</v>
      </c>
      <c r="K156" t="s">
        <v>97</v>
      </c>
      <c r="L156" t="s">
        <v>175</v>
      </c>
      <c r="M156" t="s">
        <v>99</v>
      </c>
      <c r="N156" t="s">
        <v>1194</v>
      </c>
      <c r="O156" t="s">
        <v>49</v>
      </c>
      <c r="P156" t="s">
        <v>101</v>
      </c>
      <c r="Q156" t="s">
        <v>1195</v>
      </c>
      <c r="R156">
        <v>8.6519999999999992</v>
      </c>
      <c r="S156">
        <v>3</v>
      </c>
      <c r="T156">
        <v>0.8</v>
      </c>
      <c r="U156">
        <v>-20.3322</v>
      </c>
      <c r="V156">
        <v>28.984200000000001</v>
      </c>
      <c r="W156">
        <v>1.7303999999999995</v>
      </c>
      <c r="X156">
        <v>0.10350466806052952</v>
      </c>
    </row>
    <row r="157" spans="1:24" x14ac:dyDescent="0.3">
      <c r="A157" t="s">
        <v>1196</v>
      </c>
      <c r="B157" t="s">
        <v>1197</v>
      </c>
      <c r="C157" s="1">
        <v>43401</v>
      </c>
      <c r="D157" s="1">
        <v>43402</v>
      </c>
      <c r="E157" t="s">
        <v>180</v>
      </c>
      <c r="F157" t="s">
        <v>1198</v>
      </c>
      <c r="G157" t="s">
        <v>1199</v>
      </c>
      <c r="H157" t="s">
        <v>43</v>
      </c>
      <c r="I157" t="s">
        <v>30</v>
      </c>
      <c r="J157" t="s">
        <v>126</v>
      </c>
      <c r="K157" t="s">
        <v>45</v>
      </c>
      <c r="L157" t="s">
        <v>127</v>
      </c>
      <c r="M157" t="s">
        <v>47</v>
      </c>
      <c r="N157" t="s">
        <v>1200</v>
      </c>
      <c r="O157" t="s">
        <v>49</v>
      </c>
      <c r="P157" t="s">
        <v>79</v>
      </c>
      <c r="Q157" t="s">
        <v>1201</v>
      </c>
      <c r="R157">
        <v>50.96</v>
      </c>
      <c r="S157">
        <v>7</v>
      </c>
      <c r="T157">
        <v>0</v>
      </c>
      <c r="U157">
        <v>25.48</v>
      </c>
      <c r="V157">
        <v>25.48</v>
      </c>
      <c r="W157">
        <v>50.96</v>
      </c>
      <c r="X157">
        <v>0.27472527472527469</v>
      </c>
    </row>
    <row r="158" spans="1:24" x14ac:dyDescent="0.3">
      <c r="A158" t="s">
        <v>1202</v>
      </c>
      <c r="B158" t="s">
        <v>1203</v>
      </c>
      <c r="C158" s="1">
        <v>42912</v>
      </c>
      <c r="D158" s="1">
        <v>42915</v>
      </c>
      <c r="E158" t="s">
        <v>26</v>
      </c>
      <c r="F158" t="s">
        <v>1204</v>
      </c>
      <c r="G158" t="s">
        <v>1205</v>
      </c>
      <c r="H158" t="s">
        <v>43</v>
      </c>
      <c r="I158" t="s">
        <v>30</v>
      </c>
      <c r="J158" t="s">
        <v>1206</v>
      </c>
      <c r="K158" t="s">
        <v>235</v>
      </c>
      <c r="L158" t="s">
        <v>1207</v>
      </c>
      <c r="M158" t="s">
        <v>99</v>
      </c>
      <c r="N158" t="s">
        <v>1208</v>
      </c>
      <c r="O158" t="s">
        <v>186</v>
      </c>
      <c r="P158" t="s">
        <v>228</v>
      </c>
      <c r="Q158" t="s">
        <v>1209</v>
      </c>
      <c r="R158">
        <v>41.9</v>
      </c>
      <c r="S158">
        <v>2</v>
      </c>
      <c r="T158">
        <v>0</v>
      </c>
      <c r="U158">
        <v>8.7989999999999995</v>
      </c>
      <c r="V158">
        <v>33.100999999999999</v>
      </c>
      <c r="W158">
        <v>41.9</v>
      </c>
      <c r="X158">
        <v>6.0421135313132535E-2</v>
      </c>
    </row>
    <row r="159" spans="1:24" x14ac:dyDescent="0.3">
      <c r="A159" t="s">
        <v>1210</v>
      </c>
      <c r="B159" t="s">
        <v>1211</v>
      </c>
      <c r="C159" s="1">
        <v>43066</v>
      </c>
      <c r="D159" s="1">
        <v>43071</v>
      </c>
      <c r="E159" t="s">
        <v>54</v>
      </c>
      <c r="F159" t="s">
        <v>1212</v>
      </c>
      <c r="G159" t="s">
        <v>1213</v>
      </c>
      <c r="H159" t="s">
        <v>29</v>
      </c>
      <c r="I159" t="s">
        <v>30</v>
      </c>
      <c r="J159" t="s">
        <v>1214</v>
      </c>
      <c r="K159" t="s">
        <v>58</v>
      </c>
      <c r="L159" t="s">
        <v>1215</v>
      </c>
      <c r="M159" t="s">
        <v>34</v>
      </c>
      <c r="N159" t="s">
        <v>1216</v>
      </c>
      <c r="O159" t="s">
        <v>36</v>
      </c>
      <c r="P159" t="s">
        <v>61</v>
      </c>
      <c r="Q159" t="s">
        <v>1217</v>
      </c>
      <c r="R159">
        <v>375.45749999999998</v>
      </c>
      <c r="S159">
        <v>3</v>
      </c>
      <c r="T159">
        <v>0.45</v>
      </c>
      <c r="U159">
        <v>-157.0095</v>
      </c>
      <c r="V159">
        <v>532.46699999999998</v>
      </c>
      <c r="W159">
        <v>206.50162500000002</v>
      </c>
      <c r="X159">
        <v>5.6341519756153901E-3</v>
      </c>
    </row>
    <row r="160" spans="1:24" x14ac:dyDescent="0.3">
      <c r="A160" t="s">
        <v>1218</v>
      </c>
      <c r="B160" t="s">
        <v>1219</v>
      </c>
      <c r="C160" s="1">
        <v>43072</v>
      </c>
      <c r="D160" s="1">
        <v>43076</v>
      </c>
      <c r="E160" t="s">
        <v>54</v>
      </c>
      <c r="F160" t="s">
        <v>1220</v>
      </c>
      <c r="G160" t="s">
        <v>1221</v>
      </c>
      <c r="H160" t="s">
        <v>43</v>
      </c>
      <c r="I160" t="s">
        <v>30</v>
      </c>
      <c r="J160" t="s">
        <v>144</v>
      </c>
      <c r="K160" t="s">
        <v>145</v>
      </c>
      <c r="L160" t="s">
        <v>146</v>
      </c>
      <c r="M160" t="s">
        <v>147</v>
      </c>
      <c r="N160" t="s">
        <v>1222</v>
      </c>
      <c r="O160" t="s">
        <v>186</v>
      </c>
      <c r="P160" t="s">
        <v>921</v>
      </c>
      <c r="Q160" t="s">
        <v>1223</v>
      </c>
      <c r="R160">
        <v>482.34</v>
      </c>
      <c r="S160">
        <v>4</v>
      </c>
      <c r="T160">
        <v>0.7</v>
      </c>
      <c r="U160">
        <v>-337.63799999999998</v>
      </c>
      <c r="V160">
        <v>819.97799999999995</v>
      </c>
      <c r="W160">
        <v>144.70200000000003</v>
      </c>
      <c r="X160">
        <v>4.8781796584786421E-3</v>
      </c>
    </row>
    <row r="161" spans="1:24" x14ac:dyDescent="0.3">
      <c r="A161" t="s">
        <v>1224</v>
      </c>
      <c r="B161" t="s">
        <v>1225</v>
      </c>
      <c r="C161" s="1">
        <v>42698</v>
      </c>
      <c r="D161" s="1">
        <v>42700</v>
      </c>
      <c r="E161" t="s">
        <v>180</v>
      </c>
      <c r="F161" t="s">
        <v>1226</v>
      </c>
      <c r="G161" t="s">
        <v>1227</v>
      </c>
      <c r="H161" t="s">
        <v>29</v>
      </c>
      <c r="I161" t="s">
        <v>30</v>
      </c>
      <c r="J161" t="s">
        <v>949</v>
      </c>
      <c r="K161" t="s">
        <v>476</v>
      </c>
      <c r="L161" t="s">
        <v>950</v>
      </c>
      <c r="M161" t="s">
        <v>147</v>
      </c>
      <c r="N161" t="s">
        <v>1228</v>
      </c>
      <c r="O161" t="s">
        <v>49</v>
      </c>
      <c r="P161" t="s">
        <v>129</v>
      </c>
      <c r="Q161" t="s">
        <v>1229</v>
      </c>
      <c r="R161">
        <v>2.6240000000000001</v>
      </c>
      <c r="S161">
        <v>1</v>
      </c>
      <c r="T161">
        <v>0.2</v>
      </c>
      <c r="U161">
        <v>0.4264</v>
      </c>
      <c r="V161">
        <v>2.1976</v>
      </c>
      <c r="W161">
        <v>2.0992000000000002</v>
      </c>
      <c r="X161">
        <v>0.45504186385147433</v>
      </c>
    </row>
    <row r="162" spans="1:24" x14ac:dyDescent="0.3">
      <c r="A162" t="s">
        <v>1230</v>
      </c>
      <c r="B162" t="s">
        <v>1231</v>
      </c>
      <c r="C162" s="1">
        <v>43810</v>
      </c>
      <c r="D162" s="1">
        <v>43814</v>
      </c>
      <c r="E162" t="s">
        <v>54</v>
      </c>
      <c r="F162" t="s">
        <v>1232</v>
      </c>
      <c r="G162" t="s">
        <v>1233</v>
      </c>
      <c r="H162" t="s">
        <v>29</v>
      </c>
      <c r="I162" t="s">
        <v>30</v>
      </c>
      <c r="J162" t="s">
        <v>261</v>
      </c>
      <c r="K162" t="s">
        <v>262</v>
      </c>
      <c r="L162" t="s">
        <v>312</v>
      </c>
      <c r="M162" t="s">
        <v>147</v>
      </c>
      <c r="N162" t="s">
        <v>1234</v>
      </c>
      <c r="O162" t="s">
        <v>49</v>
      </c>
      <c r="P162" t="s">
        <v>89</v>
      </c>
      <c r="Q162" t="s">
        <v>1235</v>
      </c>
      <c r="R162">
        <v>23.36</v>
      </c>
      <c r="S162">
        <v>4</v>
      </c>
      <c r="T162">
        <v>0.2</v>
      </c>
      <c r="U162">
        <v>7.8840000000000003</v>
      </c>
      <c r="V162">
        <v>15.475999999999999</v>
      </c>
      <c r="W162">
        <v>18.687999999999999</v>
      </c>
      <c r="X162">
        <v>0.25846471956577927</v>
      </c>
    </row>
    <row r="163" spans="1:24" x14ac:dyDescent="0.3">
      <c r="A163" t="s">
        <v>1236</v>
      </c>
      <c r="B163" t="s">
        <v>1237</v>
      </c>
      <c r="C163" s="1">
        <v>42634</v>
      </c>
      <c r="D163" s="1">
        <v>42636</v>
      </c>
      <c r="E163" t="s">
        <v>26</v>
      </c>
      <c r="F163" t="s">
        <v>1238</v>
      </c>
      <c r="G163" t="s">
        <v>1239</v>
      </c>
      <c r="H163" t="s">
        <v>29</v>
      </c>
      <c r="I163" t="s">
        <v>30</v>
      </c>
      <c r="J163" t="s">
        <v>1240</v>
      </c>
      <c r="K163" t="s">
        <v>86</v>
      </c>
      <c r="L163" t="s">
        <v>1241</v>
      </c>
      <c r="M163" t="s">
        <v>47</v>
      </c>
      <c r="N163" t="s">
        <v>1242</v>
      </c>
      <c r="O163" t="s">
        <v>186</v>
      </c>
      <c r="P163" t="s">
        <v>187</v>
      </c>
      <c r="Q163" t="s">
        <v>1243</v>
      </c>
      <c r="R163">
        <v>246.38399999999999</v>
      </c>
      <c r="S163">
        <v>2</v>
      </c>
      <c r="T163">
        <v>0.2</v>
      </c>
      <c r="U163">
        <v>27.7182</v>
      </c>
      <c r="V163">
        <v>218.66579999999999</v>
      </c>
      <c r="W163">
        <v>197.10720000000001</v>
      </c>
      <c r="X163">
        <v>9.1463777143019169E-3</v>
      </c>
    </row>
    <row r="164" spans="1:24" x14ac:dyDescent="0.3">
      <c r="A164" t="s">
        <v>1244</v>
      </c>
      <c r="B164" t="s">
        <v>1245</v>
      </c>
      <c r="C164" s="1">
        <v>42528</v>
      </c>
      <c r="D164" s="1">
        <v>42531</v>
      </c>
      <c r="E164" t="s">
        <v>26</v>
      </c>
      <c r="F164" t="s">
        <v>1246</v>
      </c>
      <c r="G164" t="s">
        <v>1247</v>
      </c>
      <c r="H164" t="s">
        <v>43</v>
      </c>
      <c r="I164" t="s">
        <v>30</v>
      </c>
      <c r="J164" t="s">
        <v>1248</v>
      </c>
      <c r="K164" t="s">
        <v>202</v>
      </c>
      <c r="L164" t="s">
        <v>1249</v>
      </c>
      <c r="M164" t="s">
        <v>99</v>
      </c>
      <c r="N164" t="s">
        <v>1250</v>
      </c>
      <c r="O164" t="s">
        <v>49</v>
      </c>
      <c r="P164" t="s">
        <v>89</v>
      </c>
      <c r="Q164" t="s">
        <v>1251</v>
      </c>
      <c r="R164">
        <v>12.462</v>
      </c>
      <c r="S164">
        <v>3</v>
      </c>
      <c r="T164">
        <v>0.8</v>
      </c>
      <c r="U164">
        <v>-20.5623</v>
      </c>
      <c r="V164">
        <v>33.024299999999997</v>
      </c>
      <c r="W164">
        <v>2.4923999999999995</v>
      </c>
      <c r="X164">
        <v>9.0842198017823242E-2</v>
      </c>
    </row>
    <row r="165" spans="1:24" x14ac:dyDescent="0.3">
      <c r="A165" t="s">
        <v>1252</v>
      </c>
      <c r="B165" t="s">
        <v>1253</v>
      </c>
      <c r="C165" s="1">
        <v>43646</v>
      </c>
      <c r="D165" s="1">
        <v>43651</v>
      </c>
      <c r="E165" t="s">
        <v>54</v>
      </c>
      <c r="F165" t="s">
        <v>1254</v>
      </c>
      <c r="G165" t="s">
        <v>1255</v>
      </c>
      <c r="H165" t="s">
        <v>95</v>
      </c>
      <c r="I165" t="s">
        <v>30</v>
      </c>
      <c r="J165" t="s">
        <v>1256</v>
      </c>
      <c r="K165" t="s">
        <v>1257</v>
      </c>
      <c r="L165" t="s">
        <v>1258</v>
      </c>
      <c r="M165" t="s">
        <v>47</v>
      </c>
      <c r="N165" t="s">
        <v>1259</v>
      </c>
      <c r="O165" t="s">
        <v>49</v>
      </c>
      <c r="P165" t="s">
        <v>89</v>
      </c>
      <c r="Q165" t="s">
        <v>1260</v>
      </c>
      <c r="R165">
        <v>75.792000000000002</v>
      </c>
      <c r="S165">
        <v>3</v>
      </c>
      <c r="T165">
        <v>0.2</v>
      </c>
      <c r="U165">
        <v>25.579799999999999</v>
      </c>
      <c r="V165">
        <v>50.212200000000003</v>
      </c>
      <c r="W165">
        <v>60.633600000000001</v>
      </c>
      <c r="X165">
        <v>5.9746436125085137E-2</v>
      </c>
    </row>
    <row r="166" spans="1:24" x14ac:dyDescent="0.3">
      <c r="A166" t="s">
        <v>1261</v>
      </c>
      <c r="B166" t="s">
        <v>1262</v>
      </c>
      <c r="C166" s="1">
        <v>43755</v>
      </c>
      <c r="D166" s="1">
        <v>43757</v>
      </c>
      <c r="E166" t="s">
        <v>26</v>
      </c>
      <c r="F166" t="s">
        <v>1263</v>
      </c>
      <c r="G166" t="s">
        <v>1264</v>
      </c>
      <c r="H166" t="s">
        <v>43</v>
      </c>
      <c r="I166" t="s">
        <v>30</v>
      </c>
      <c r="J166" t="s">
        <v>1265</v>
      </c>
      <c r="K166" t="s">
        <v>1266</v>
      </c>
      <c r="L166" t="s">
        <v>1267</v>
      </c>
      <c r="M166" t="s">
        <v>147</v>
      </c>
      <c r="N166" t="s">
        <v>1268</v>
      </c>
      <c r="O166" t="s">
        <v>49</v>
      </c>
      <c r="P166" t="s">
        <v>111</v>
      </c>
      <c r="Q166" t="s">
        <v>1269</v>
      </c>
      <c r="R166">
        <v>49.96</v>
      </c>
      <c r="S166">
        <v>2</v>
      </c>
      <c r="T166">
        <v>0</v>
      </c>
      <c r="U166">
        <v>9.4923999999999999</v>
      </c>
      <c r="V166">
        <v>40.467600000000004</v>
      </c>
      <c r="W166">
        <v>49.96</v>
      </c>
      <c r="X166">
        <v>4.9422253852464682E-2</v>
      </c>
    </row>
    <row r="167" spans="1:24" x14ac:dyDescent="0.3">
      <c r="A167" t="s">
        <v>1270</v>
      </c>
      <c r="B167" t="s">
        <v>1271</v>
      </c>
      <c r="C167" s="1">
        <v>43351</v>
      </c>
      <c r="D167" s="1">
        <v>43353</v>
      </c>
      <c r="E167" t="s">
        <v>26</v>
      </c>
      <c r="F167" t="s">
        <v>1272</v>
      </c>
      <c r="G167" t="s">
        <v>1273</v>
      </c>
      <c r="H167" t="s">
        <v>29</v>
      </c>
      <c r="I167" t="s">
        <v>30</v>
      </c>
      <c r="J167" t="s">
        <v>174</v>
      </c>
      <c r="K167" t="s">
        <v>97</v>
      </c>
      <c r="L167" t="s">
        <v>676</v>
      </c>
      <c r="M167" t="s">
        <v>99</v>
      </c>
      <c r="N167" t="s">
        <v>1274</v>
      </c>
      <c r="O167" t="s">
        <v>49</v>
      </c>
      <c r="P167" t="s">
        <v>111</v>
      </c>
      <c r="Q167" t="s">
        <v>1275</v>
      </c>
      <c r="R167">
        <v>35.951999999999998</v>
      </c>
      <c r="S167">
        <v>3</v>
      </c>
      <c r="T167">
        <v>0.2</v>
      </c>
      <c r="U167">
        <v>3.5952000000000002</v>
      </c>
      <c r="V167">
        <v>32.3568</v>
      </c>
      <c r="W167">
        <v>28.761600000000001</v>
      </c>
      <c r="X167">
        <v>9.2716214211541317E-2</v>
      </c>
    </row>
    <row r="168" spans="1:24" x14ac:dyDescent="0.3">
      <c r="A168" t="s">
        <v>1276</v>
      </c>
      <c r="B168" t="s">
        <v>1277</v>
      </c>
      <c r="C168" s="1">
        <v>42728</v>
      </c>
      <c r="D168" s="1">
        <v>42730</v>
      </c>
      <c r="E168" t="s">
        <v>180</v>
      </c>
      <c r="F168" t="s">
        <v>1278</v>
      </c>
      <c r="G168" t="s">
        <v>1279</v>
      </c>
      <c r="H168" t="s">
        <v>29</v>
      </c>
      <c r="I168" t="s">
        <v>30</v>
      </c>
      <c r="J168" t="s">
        <v>1280</v>
      </c>
      <c r="K168" t="s">
        <v>58</v>
      </c>
      <c r="L168" t="s">
        <v>1281</v>
      </c>
      <c r="M168" t="s">
        <v>34</v>
      </c>
      <c r="N168" t="s">
        <v>1282</v>
      </c>
      <c r="O168" t="s">
        <v>49</v>
      </c>
      <c r="P168" t="s">
        <v>79</v>
      </c>
      <c r="Q168" t="s">
        <v>1283</v>
      </c>
      <c r="R168">
        <v>9.5679999999999996</v>
      </c>
      <c r="S168">
        <v>2</v>
      </c>
      <c r="T168">
        <v>0.2</v>
      </c>
      <c r="U168">
        <v>3.4683999999999999</v>
      </c>
      <c r="V168">
        <v>6.0995999999999997</v>
      </c>
      <c r="W168">
        <v>7.6543999999999999</v>
      </c>
      <c r="X168">
        <v>0.32789035346580103</v>
      </c>
    </row>
    <row r="169" spans="1:24" x14ac:dyDescent="0.3">
      <c r="A169" t="s">
        <v>1284</v>
      </c>
      <c r="B169" t="s">
        <v>1285</v>
      </c>
      <c r="C169" s="1">
        <v>43823</v>
      </c>
      <c r="D169" s="1">
        <v>43828</v>
      </c>
      <c r="E169" t="s">
        <v>54</v>
      </c>
      <c r="F169" t="s">
        <v>1286</v>
      </c>
      <c r="G169" t="s">
        <v>1287</v>
      </c>
      <c r="H169" t="s">
        <v>29</v>
      </c>
      <c r="I169" t="s">
        <v>30</v>
      </c>
      <c r="J169" t="s">
        <v>261</v>
      </c>
      <c r="K169" t="s">
        <v>262</v>
      </c>
      <c r="L169" t="s">
        <v>263</v>
      </c>
      <c r="M169" t="s">
        <v>147</v>
      </c>
      <c r="N169" t="s">
        <v>1288</v>
      </c>
      <c r="O169" t="s">
        <v>49</v>
      </c>
      <c r="P169" t="s">
        <v>101</v>
      </c>
      <c r="Q169" t="s">
        <v>1289</v>
      </c>
      <c r="R169">
        <v>35.909999999999997</v>
      </c>
      <c r="S169">
        <v>3</v>
      </c>
      <c r="T169">
        <v>0</v>
      </c>
      <c r="U169">
        <v>9.6957000000000004</v>
      </c>
      <c r="V169">
        <v>26.214299999999994</v>
      </c>
      <c r="W169">
        <v>35.909999999999997</v>
      </c>
      <c r="X169">
        <v>0.11444135452787221</v>
      </c>
    </row>
    <row r="170" spans="1:24" x14ac:dyDescent="0.3">
      <c r="A170" t="s">
        <v>1290</v>
      </c>
      <c r="B170" t="s">
        <v>1291</v>
      </c>
      <c r="C170" s="1">
        <v>43807</v>
      </c>
      <c r="D170" s="1">
        <v>43811</v>
      </c>
      <c r="E170" t="s">
        <v>54</v>
      </c>
      <c r="F170" t="s">
        <v>1292</v>
      </c>
      <c r="G170" t="s">
        <v>1293</v>
      </c>
      <c r="H170" t="s">
        <v>29</v>
      </c>
      <c r="I170" t="s">
        <v>30</v>
      </c>
      <c r="J170" t="s">
        <v>126</v>
      </c>
      <c r="K170" t="s">
        <v>45</v>
      </c>
      <c r="L170" t="s">
        <v>957</v>
      </c>
      <c r="M170" t="s">
        <v>47</v>
      </c>
      <c r="N170" t="s">
        <v>1294</v>
      </c>
      <c r="O170" t="s">
        <v>186</v>
      </c>
      <c r="P170" t="s">
        <v>228</v>
      </c>
      <c r="Q170" t="s">
        <v>1295</v>
      </c>
      <c r="R170">
        <v>179.95</v>
      </c>
      <c r="S170">
        <v>5</v>
      </c>
      <c r="T170">
        <v>0</v>
      </c>
      <c r="U170">
        <v>37.789499999999997</v>
      </c>
      <c r="V170">
        <v>142.16049999999998</v>
      </c>
      <c r="W170">
        <v>179.95</v>
      </c>
      <c r="X170">
        <v>3.5171513887472264E-2</v>
      </c>
    </row>
    <row r="171" spans="1:24" x14ac:dyDescent="0.3">
      <c r="A171" t="s">
        <v>1296</v>
      </c>
      <c r="B171" t="s">
        <v>1297</v>
      </c>
      <c r="C171" s="1">
        <v>43772</v>
      </c>
      <c r="D171" s="1">
        <v>43776</v>
      </c>
      <c r="E171" t="s">
        <v>54</v>
      </c>
      <c r="F171" t="s">
        <v>1298</v>
      </c>
      <c r="G171" t="s">
        <v>1299</v>
      </c>
      <c r="H171" t="s">
        <v>43</v>
      </c>
      <c r="I171" t="s">
        <v>30</v>
      </c>
      <c r="J171" t="s">
        <v>85</v>
      </c>
      <c r="K171" t="s">
        <v>86</v>
      </c>
      <c r="L171" t="s">
        <v>606</v>
      </c>
      <c r="M171" t="s">
        <v>47</v>
      </c>
      <c r="N171" t="s">
        <v>1300</v>
      </c>
      <c r="O171" t="s">
        <v>49</v>
      </c>
      <c r="P171" t="s">
        <v>79</v>
      </c>
      <c r="Q171" t="s">
        <v>1301</v>
      </c>
      <c r="R171">
        <v>139.86000000000001</v>
      </c>
      <c r="S171">
        <v>7</v>
      </c>
      <c r="T171">
        <v>0</v>
      </c>
      <c r="U171">
        <v>65.734200000000001</v>
      </c>
      <c r="V171">
        <v>74.125800000000012</v>
      </c>
      <c r="W171">
        <v>139.86000000000001</v>
      </c>
      <c r="X171">
        <v>9.4434056698207619E-2</v>
      </c>
    </row>
    <row r="172" spans="1:24" x14ac:dyDescent="0.3">
      <c r="A172" t="s">
        <v>1302</v>
      </c>
      <c r="B172" t="s">
        <v>1303</v>
      </c>
      <c r="C172" s="1">
        <v>43640</v>
      </c>
      <c r="D172" s="1">
        <v>43644</v>
      </c>
      <c r="E172" t="s">
        <v>54</v>
      </c>
      <c r="F172" t="s">
        <v>1304</v>
      </c>
      <c r="G172" t="s">
        <v>1305</v>
      </c>
      <c r="H172" t="s">
        <v>29</v>
      </c>
      <c r="I172" t="s">
        <v>30</v>
      </c>
      <c r="J172" t="s">
        <v>1306</v>
      </c>
      <c r="K172" t="s">
        <v>45</v>
      </c>
      <c r="L172" t="s">
        <v>1307</v>
      </c>
      <c r="M172" t="s">
        <v>47</v>
      </c>
      <c r="N172" t="s">
        <v>1308</v>
      </c>
      <c r="O172" t="s">
        <v>49</v>
      </c>
      <c r="P172" t="s">
        <v>129</v>
      </c>
      <c r="Q172" t="s">
        <v>1309</v>
      </c>
      <c r="R172">
        <v>95.92</v>
      </c>
      <c r="S172">
        <v>8</v>
      </c>
      <c r="T172">
        <v>0</v>
      </c>
      <c r="U172">
        <v>25.898399999999999</v>
      </c>
      <c r="V172">
        <v>70.021600000000007</v>
      </c>
      <c r="W172">
        <v>95.92</v>
      </c>
      <c r="X172">
        <v>0.11425045985810092</v>
      </c>
    </row>
    <row r="173" spans="1:24" x14ac:dyDescent="0.3">
      <c r="A173" t="s">
        <v>1310</v>
      </c>
      <c r="B173" t="s">
        <v>1311</v>
      </c>
      <c r="C173" s="1">
        <v>43204</v>
      </c>
      <c r="D173" s="1">
        <v>43208</v>
      </c>
      <c r="E173" t="s">
        <v>54</v>
      </c>
      <c r="F173" t="s">
        <v>1312</v>
      </c>
      <c r="G173" t="s">
        <v>1313</v>
      </c>
      <c r="H173" t="s">
        <v>29</v>
      </c>
      <c r="I173" t="s">
        <v>30</v>
      </c>
      <c r="J173" t="s">
        <v>44</v>
      </c>
      <c r="K173" t="s">
        <v>45</v>
      </c>
      <c r="L173" t="s">
        <v>279</v>
      </c>
      <c r="M173" t="s">
        <v>47</v>
      </c>
      <c r="N173" t="s">
        <v>1314</v>
      </c>
      <c r="O173" t="s">
        <v>36</v>
      </c>
      <c r="P173" t="s">
        <v>149</v>
      </c>
      <c r="Q173" t="s">
        <v>1315</v>
      </c>
      <c r="R173">
        <v>383.8</v>
      </c>
      <c r="S173">
        <v>5</v>
      </c>
      <c r="T173">
        <v>0.2</v>
      </c>
      <c r="U173">
        <v>38.380000000000003</v>
      </c>
      <c r="V173">
        <v>345.42</v>
      </c>
      <c r="W173">
        <v>307.04000000000002</v>
      </c>
      <c r="X173">
        <v>1.4475131723698685E-2</v>
      </c>
    </row>
    <row r="174" spans="1:24" x14ac:dyDescent="0.3">
      <c r="A174" t="s">
        <v>1316</v>
      </c>
      <c r="B174" t="s">
        <v>1317</v>
      </c>
      <c r="C174" s="1">
        <v>43757</v>
      </c>
      <c r="D174" s="1">
        <v>43761</v>
      </c>
      <c r="E174" t="s">
        <v>54</v>
      </c>
      <c r="F174" t="s">
        <v>1318</v>
      </c>
      <c r="G174" t="s">
        <v>1319</v>
      </c>
      <c r="H174" t="s">
        <v>43</v>
      </c>
      <c r="I174" t="s">
        <v>30</v>
      </c>
      <c r="J174" t="s">
        <v>1320</v>
      </c>
      <c r="K174" t="s">
        <v>1118</v>
      </c>
      <c r="L174" t="s">
        <v>1321</v>
      </c>
      <c r="M174" t="s">
        <v>147</v>
      </c>
      <c r="N174" t="s">
        <v>1322</v>
      </c>
      <c r="O174" t="s">
        <v>36</v>
      </c>
      <c r="P174" t="s">
        <v>69</v>
      </c>
      <c r="Q174" t="s">
        <v>1323</v>
      </c>
      <c r="R174">
        <v>56.56</v>
      </c>
      <c r="S174">
        <v>4</v>
      </c>
      <c r="T174">
        <v>0</v>
      </c>
      <c r="U174">
        <v>14.7056</v>
      </c>
      <c r="V174">
        <v>41.854399999999998</v>
      </c>
      <c r="W174">
        <v>56.56</v>
      </c>
      <c r="X174">
        <v>9.5569402500095574E-2</v>
      </c>
    </row>
    <row r="175" spans="1:24" x14ac:dyDescent="0.3">
      <c r="A175" t="s">
        <v>1324</v>
      </c>
      <c r="B175" t="s">
        <v>1325</v>
      </c>
      <c r="C175" s="1">
        <v>43698</v>
      </c>
      <c r="D175" s="1">
        <v>43700</v>
      </c>
      <c r="E175" t="s">
        <v>26</v>
      </c>
      <c r="F175" t="s">
        <v>1326</v>
      </c>
      <c r="G175" t="s">
        <v>1327</v>
      </c>
      <c r="H175" t="s">
        <v>29</v>
      </c>
      <c r="I175" t="s">
        <v>30</v>
      </c>
      <c r="J175" t="s">
        <v>1328</v>
      </c>
      <c r="K175" t="s">
        <v>1329</v>
      </c>
      <c r="L175" t="s">
        <v>1330</v>
      </c>
      <c r="M175" t="s">
        <v>34</v>
      </c>
      <c r="N175" t="s">
        <v>1331</v>
      </c>
      <c r="O175" t="s">
        <v>36</v>
      </c>
      <c r="P175" t="s">
        <v>149</v>
      </c>
      <c r="Q175" t="s">
        <v>1332</v>
      </c>
      <c r="R175">
        <v>866.4</v>
      </c>
      <c r="S175">
        <v>4</v>
      </c>
      <c r="T175">
        <v>0</v>
      </c>
      <c r="U175">
        <v>225.26400000000001</v>
      </c>
      <c r="V175">
        <v>641.13599999999997</v>
      </c>
      <c r="W175">
        <v>866.4</v>
      </c>
      <c r="X175">
        <v>6.2389259065159346E-3</v>
      </c>
    </row>
    <row r="176" spans="1:24" x14ac:dyDescent="0.3">
      <c r="A176" t="s">
        <v>1333</v>
      </c>
      <c r="B176" t="s">
        <v>1334</v>
      </c>
      <c r="C176" s="1">
        <v>42625</v>
      </c>
      <c r="D176" s="1">
        <v>42626</v>
      </c>
      <c r="E176" t="s">
        <v>180</v>
      </c>
      <c r="F176" t="s">
        <v>1335</v>
      </c>
      <c r="G176" t="s">
        <v>1336</v>
      </c>
      <c r="H176" t="s">
        <v>95</v>
      </c>
      <c r="I176" t="s">
        <v>30</v>
      </c>
      <c r="J176" t="s">
        <v>1337</v>
      </c>
      <c r="K176" t="s">
        <v>262</v>
      </c>
      <c r="L176" t="s">
        <v>1338</v>
      </c>
      <c r="M176" t="s">
        <v>147</v>
      </c>
      <c r="N176" t="s">
        <v>1339</v>
      </c>
      <c r="O176" t="s">
        <v>186</v>
      </c>
      <c r="P176" t="s">
        <v>921</v>
      </c>
      <c r="Q176" t="s">
        <v>1340</v>
      </c>
      <c r="R176">
        <v>69.989999999999995</v>
      </c>
      <c r="S176">
        <v>1</v>
      </c>
      <c r="T176">
        <v>0</v>
      </c>
      <c r="U176">
        <v>30.095700000000001</v>
      </c>
      <c r="V176">
        <v>39.894299999999994</v>
      </c>
      <c r="W176">
        <v>69.989999999999995</v>
      </c>
      <c r="X176">
        <v>2.506623753268011E-2</v>
      </c>
    </row>
    <row r="177" spans="1:24" x14ac:dyDescent="0.3">
      <c r="A177" t="s">
        <v>1341</v>
      </c>
      <c r="B177" t="s">
        <v>1342</v>
      </c>
      <c r="C177" s="1">
        <v>43739</v>
      </c>
      <c r="D177" s="1">
        <v>43746</v>
      </c>
      <c r="E177" t="s">
        <v>54</v>
      </c>
      <c r="F177" t="s">
        <v>1343</v>
      </c>
      <c r="G177" t="s">
        <v>1344</v>
      </c>
      <c r="H177" t="s">
        <v>43</v>
      </c>
      <c r="I177" t="s">
        <v>30</v>
      </c>
      <c r="J177" t="s">
        <v>656</v>
      </c>
      <c r="K177" t="s">
        <v>97</v>
      </c>
      <c r="L177" t="s">
        <v>657</v>
      </c>
      <c r="M177" t="s">
        <v>99</v>
      </c>
      <c r="N177" t="s">
        <v>1345</v>
      </c>
      <c r="O177" t="s">
        <v>49</v>
      </c>
      <c r="P177" t="s">
        <v>129</v>
      </c>
      <c r="Q177" t="s">
        <v>1346</v>
      </c>
      <c r="R177">
        <v>6.6719999999999997</v>
      </c>
      <c r="S177">
        <v>6</v>
      </c>
      <c r="T177">
        <v>0.2</v>
      </c>
      <c r="U177">
        <v>0.50039999999999996</v>
      </c>
      <c r="V177">
        <v>6.1715999999999998</v>
      </c>
      <c r="W177">
        <v>5.3376000000000001</v>
      </c>
      <c r="X177">
        <v>0.97219521679953336</v>
      </c>
    </row>
    <row r="178" spans="1:24" x14ac:dyDescent="0.3">
      <c r="A178" t="s">
        <v>1347</v>
      </c>
      <c r="B178" t="s">
        <v>1348</v>
      </c>
      <c r="C178" s="1">
        <v>43205</v>
      </c>
      <c r="D178" s="1">
        <v>43211</v>
      </c>
      <c r="E178" t="s">
        <v>54</v>
      </c>
      <c r="F178" t="s">
        <v>1349</v>
      </c>
      <c r="G178" t="s">
        <v>1350</v>
      </c>
      <c r="H178" t="s">
        <v>95</v>
      </c>
      <c r="I178" t="s">
        <v>30</v>
      </c>
      <c r="J178" t="s">
        <v>1351</v>
      </c>
      <c r="K178" t="s">
        <v>76</v>
      </c>
      <c r="L178" t="s">
        <v>1352</v>
      </c>
      <c r="M178" t="s">
        <v>34</v>
      </c>
      <c r="N178" t="s">
        <v>1353</v>
      </c>
      <c r="O178" t="s">
        <v>49</v>
      </c>
      <c r="P178" t="s">
        <v>89</v>
      </c>
      <c r="Q178" t="s">
        <v>1354</v>
      </c>
      <c r="R178">
        <v>189.58799999999999</v>
      </c>
      <c r="S178">
        <v>2</v>
      </c>
      <c r="T178">
        <v>0.7</v>
      </c>
      <c r="U178">
        <v>-145.35079999999999</v>
      </c>
      <c r="V178">
        <v>334.93880000000001</v>
      </c>
      <c r="W178">
        <v>56.876400000000004</v>
      </c>
      <c r="X178">
        <v>5.9712401190904129E-3</v>
      </c>
    </row>
    <row r="179" spans="1:24" x14ac:dyDescent="0.3">
      <c r="A179" t="s">
        <v>1355</v>
      </c>
      <c r="B179" t="s">
        <v>1356</v>
      </c>
      <c r="C179" s="1">
        <v>42723</v>
      </c>
      <c r="D179" s="1">
        <v>42729</v>
      </c>
      <c r="E179" t="s">
        <v>54</v>
      </c>
      <c r="F179" t="s">
        <v>1357</v>
      </c>
      <c r="G179" t="s">
        <v>1358</v>
      </c>
      <c r="H179" t="s">
        <v>29</v>
      </c>
      <c r="I179" t="s">
        <v>30</v>
      </c>
      <c r="J179" t="s">
        <v>1359</v>
      </c>
      <c r="K179" t="s">
        <v>58</v>
      </c>
      <c r="L179" t="s">
        <v>1360</v>
      </c>
      <c r="M179" t="s">
        <v>34</v>
      </c>
      <c r="N179" t="s">
        <v>1361</v>
      </c>
      <c r="O179" t="s">
        <v>49</v>
      </c>
      <c r="P179" t="s">
        <v>89</v>
      </c>
      <c r="Q179" t="s">
        <v>1362</v>
      </c>
      <c r="R179">
        <v>4.8120000000000003</v>
      </c>
      <c r="S179">
        <v>2</v>
      </c>
      <c r="T179">
        <v>0.7</v>
      </c>
      <c r="U179">
        <v>-3.6892</v>
      </c>
      <c r="V179">
        <v>8.5012000000000008</v>
      </c>
      <c r="W179">
        <v>1.4436000000000002</v>
      </c>
      <c r="X179">
        <v>0.23526090434291627</v>
      </c>
    </row>
    <row r="180" spans="1:24" x14ac:dyDescent="0.3">
      <c r="A180" t="s">
        <v>1363</v>
      </c>
      <c r="B180" t="s">
        <v>1364</v>
      </c>
      <c r="C180" s="1">
        <v>43263</v>
      </c>
      <c r="D180" s="1">
        <v>43265</v>
      </c>
      <c r="E180" t="s">
        <v>26</v>
      </c>
      <c r="F180" t="s">
        <v>1365</v>
      </c>
      <c r="G180" t="s">
        <v>1366</v>
      </c>
      <c r="H180" t="s">
        <v>95</v>
      </c>
      <c r="I180" t="s">
        <v>30</v>
      </c>
      <c r="J180" t="s">
        <v>286</v>
      </c>
      <c r="K180" t="s">
        <v>202</v>
      </c>
      <c r="L180" t="s">
        <v>358</v>
      </c>
      <c r="M180" t="s">
        <v>99</v>
      </c>
      <c r="N180" t="s">
        <v>1367</v>
      </c>
      <c r="O180" t="s">
        <v>186</v>
      </c>
      <c r="P180" t="s">
        <v>921</v>
      </c>
      <c r="Q180" t="s">
        <v>1368</v>
      </c>
      <c r="R180">
        <v>1007.979</v>
      </c>
      <c r="S180">
        <v>3</v>
      </c>
      <c r="T180">
        <v>0.3</v>
      </c>
      <c r="U180">
        <v>43.199100000000001</v>
      </c>
      <c r="V180">
        <v>964.7799</v>
      </c>
      <c r="W180">
        <v>705.58529999999996</v>
      </c>
      <c r="X180">
        <v>3.109517517933365E-3</v>
      </c>
    </row>
    <row r="181" spans="1:24" x14ac:dyDescent="0.3">
      <c r="A181" t="s">
        <v>1369</v>
      </c>
      <c r="B181" t="s">
        <v>1370</v>
      </c>
      <c r="C181" s="1">
        <v>43723</v>
      </c>
      <c r="D181" s="1">
        <v>43727</v>
      </c>
      <c r="E181" t="s">
        <v>54</v>
      </c>
      <c r="F181" t="s">
        <v>1371</v>
      </c>
      <c r="G181" t="s">
        <v>1372</v>
      </c>
      <c r="H181" t="s">
        <v>43</v>
      </c>
      <c r="I181" t="s">
        <v>30</v>
      </c>
      <c r="J181" t="s">
        <v>174</v>
      </c>
      <c r="K181" t="s">
        <v>97</v>
      </c>
      <c r="L181" t="s">
        <v>1373</v>
      </c>
      <c r="M181" t="s">
        <v>99</v>
      </c>
      <c r="N181" t="s">
        <v>1374</v>
      </c>
      <c r="O181" t="s">
        <v>49</v>
      </c>
      <c r="P181" t="s">
        <v>79</v>
      </c>
      <c r="Q181" t="s">
        <v>1375</v>
      </c>
      <c r="R181">
        <v>31.872</v>
      </c>
      <c r="S181">
        <v>8</v>
      </c>
      <c r="T181">
        <v>0.2</v>
      </c>
      <c r="U181">
        <v>11.553599999999999</v>
      </c>
      <c r="V181">
        <v>20.3184</v>
      </c>
      <c r="W181">
        <v>25.497600000000002</v>
      </c>
      <c r="X181">
        <v>0.39373178990471691</v>
      </c>
    </row>
    <row r="182" spans="1:24" x14ac:dyDescent="0.3">
      <c r="A182" t="s">
        <v>1376</v>
      </c>
      <c r="B182" t="s">
        <v>1377</v>
      </c>
      <c r="C182" s="1">
        <v>43544</v>
      </c>
      <c r="D182" s="1">
        <v>43549</v>
      </c>
      <c r="E182" t="s">
        <v>26</v>
      </c>
      <c r="F182" t="s">
        <v>1378</v>
      </c>
      <c r="G182" t="s">
        <v>1379</v>
      </c>
      <c r="H182" t="s">
        <v>29</v>
      </c>
      <c r="I182" t="s">
        <v>30</v>
      </c>
      <c r="J182" t="s">
        <v>475</v>
      </c>
      <c r="K182" t="s">
        <v>253</v>
      </c>
      <c r="L182" t="s">
        <v>1380</v>
      </c>
      <c r="M182" t="s">
        <v>99</v>
      </c>
      <c r="N182" t="s">
        <v>1381</v>
      </c>
      <c r="O182" t="s">
        <v>36</v>
      </c>
      <c r="P182" t="s">
        <v>69</v>
      </c>
      <c r="Q182" t="s">
        <v>1382</v>
      </c>
      <c r="R182">
        <v>2.91</v>
      </c>
      <c r="S182">
        <v>1</v>
      </c>
      <c r="T182">
        <v>0</v>
      </c>
      <c r="U182">
        <v>1.3676999999999999</v>
      </c>
      <c r="V182">
        <v>1.5423000000000002</v>
      </c>
      <c r="W182">
        <v>2.91</v>
      </c>
      <c r="X182">
        <v>0.64838228619594107</v>
      </c>
    </row>
    <row r="183" spans="1:24" x14ac:dyDescent="0.3">
      <c r="A183" t="s">
        <v>1383</v>
      </c>
      <c r="B183" t="s">
        <v>1384</v>
      </c>
      <c r="C183" s="1">
        <v>43191</v>
      </c>
      <c r="D183" s="1">
        <v>43193</v>
      </c>
      <c r="E183" t="s">
        <v>26</v>
      </c>
      <c r="F183" t="s">
        <v>1385</v>
      </c>
      <c r="G183" t="s">
        <v>1386</v>
      </c>
      <c r="H183" t="s">
        <v>29</v>
      </c>
      <c r="I183" t="s">
        <v>30</v>
      </c>
      <c r="J183" t="s">
        <v>1387</v>
      </c>
      <c r="K183" t="s">
        <v>262</v>
      </c>
      <c r="L183" t="s">
        <v>1388</v>
      </c>
      <c r="M183" t="s">
        <v>147</v>
      </c>
      <c r="N183" t="s">
        <v>1389</v>
      </c>
      <c r="O183" t="s">
        <v>49</v>
      </c>
      <c r="P183" t="s">
        <v>129</v>
      </c>
      <c r="Q183" t="s">
        <v>1390</v>
      </c>
      <c r="R183">
        <v>59.52</v>
      </c>
      <c r="S183">
        <v>3</v>
      </c>
      <c r="T183">
        <v>0</v>
      </c>
      <c r="U183">
        <v>15.475199999999999</v>
      </c>
      <c r="V183">
        <v>44.044800000000002</v>
      </c>
      <c r="W183">
        <v>59.52</v>
      </c>
      <c r="X183">
        <v>6.8112467306015695E-2</v>
      </c>
    </row>
    <row r="184" spans="1:24" x14ac:dyDescent="0.3">
      <c r="A184" t="s">
        <v>1391</v>
      </c>
      <c r="B184" t="s">
        <v>1392</v>
      </c>
      <c r="C184" s="1">
        <v>43758</v>
      </c>
      <c r="D184" s="1">
        <v>43762</v>
      </c>
      <c r="E184" t="s">
        <v>54</v>
      </c>
      <c r="F184" t="s">
        <v>1393</v>
      </c>
      <c r="G184" t="s">
        <v>1394</v>
      </c>
      <c r="H184" t="s">
        <v>43</v>
      </c>
      <c r="I184" t="s">
        <v>30</v>
      </c>
      <c r="J184" t="s">
        <v>766</v>
      </c>
      <c r="K184" t="s">
        <v>476</v>
      </c>
      <c r="L184" t="s">
        <v>767</v>
      </c>
      <c r="M184" t="s">
        <v>147</v>
      </c>
      <c r="N184" t="s">
        <v>1395</v>
      </c>
      <c r="O184" t="s">
        <v>36</v>
      </c>
      <c r="P184" t="s">
        <v>61</v>
      </c>
      <c r="Q184" t="s">
        <v>1396</v>
      </c>
      <c r="R184">
        <v>284.36399999999998</v>
      </c>
      <c r="S184">
        <v>2</v>
      </c>
      <c r="T184">
        <v>0.4</v>
      </c>
      <c r="U184">
        <v>-75.830399999999997</v>
      </c>
      <c r="V184">
        <v>360.19439999999997</v>
      </c>
      <c r="W184">
        <v>170.61839999999998</v>
      </c>
      <c r="X184">
        <v>5.5525571746812283E-3</v>
      </c>
    </row>
    <row r="185" spans="1:24" x14ac:dyDescent="0.3">
      <c r="A185" t="s">
        <v>1397</v>
      </c>
      <c r="B185" t="s">
        <v>1398</v>
      </c>
      <c r="C185" s="1">
        <v>42412</v>
      </c>
      <c r="D185" s="1">
        <v>42418</v>
      </c>
      <c r="E185" t="s">
        <v>54</v>
      </c>
      <c r="F185" t="s">
        <v>1399</v>
      </c>
      <c r="G185" t="s">
        <v>1400</v>
      </c>
      <c r="H185" t="s">
        <v>29</v>
      </c>
      <c r="I185" t="s">
        <v>30</v>
      </c>
      <c r="J185" t="s">
        <v>75</v>
      </c>
      <c r="K185" t="s">
        <v>45</v>
      </c>
      <c r="L185" t="s">
        <v>1401</v>
      </c>
      <c r="M185" t="s">
        <v>47</v>
      </c>
      <c r="N185" t="s">
        <v>1402</v>
      </c>
      <c r="O185" t="s">
        <v>36</v>
      </c>
      <c r="P185" t="s">
        <v>149</v>
      </c>
      <c r="Q185" t="s">
        <v>1403</v>
      </c>
      <c r="R185">
        <v>129.56800000000001</v>
      </c>
      <c r="S185">
        <v>2</v>
      </c>
      <c r="T185">
        <v>0.2</v>
      </c>
      <c r="U185">
        <v>-24.294</v>
      </c>
      <c r="V185">
        <v>153.86200000000002</v>
      </c>
      <c r="W185">
        <v>103.65440000000001</v>
      </c>
      <c r="X185">
        <v>1.2998661137902793E-2</v>
      </c>
    </row>
    <row r="186" spans="1:24" x14ac:dyDescent="0.3">
      <c r="A186" t="s">
        <v>1404</v>
      </c>
      <c r="B186" t="s">
        <v>1405</v>
      </c>
      <c r="C186" s="1">
        <v>43212</v>
      </c>
      <c r="D186" s="1">
        <v>43219</v>
      </c>
      <c r="E186" t="s">
        <v>54</v>
      </c>
      <c r="F186" t="s">
        <v>1406</v>
      </c>
      <c r="G186" t="s">
        <v>1407</v>
      </c>
      <c r="H186" t="s">
        <v>95</v>
      </c>
      <c r="I186" t="s">
        <v>30</v>
      </c>
      <c r="J186" t="s">
        <v>520</v>
      </c>
      <c r="K186" t="s">
        <v>295</v>
      </c>
      <c r="L186" t="s">
        <v>521</v>
      </c>
      <c r="M186" t="s">
        <v>47</v>
      </c>
      <c r="N186" t="s">
        <v>1408</v>
      </c>
      <c r="O186" t="s">
        <v>36</v>
      </c>
      <c r="P186" t="s">
        <v>69</v>
      </c>
      <c r="Q186" t="s">
        <v>1409</v>
      </c>
      <c r="R186">
        <v>23.56</v>
      </c>
      <c r="S186">
        <v>5</v>
      </c>
      <c r="T186">
        <v>0.2</v>
      </c>
      <c r="U186">
        <v>7.0679999999999996</v>
      </c>
      <c r="V186">
        <v>16.491999999999997</v>
      </c>
      <c r="W186">
        <v>18.847999999999999</v>
      </c>
      <c r="X186">
        <v>0.30317729808391952</v>
      </c>
    </row>
    <row r="187" spans="1:24" x14ac:dyDescent="0.3">
      <c r="A187" t="s">
        <v>1410</v>
      </c>
      <c r="B187" t="s">
        <v>1411</v>
      </c>
      <c r="C187" s="1">
        <v>42752</v>
      </c>
      <c r="D187" s="1">
        <v>42759</v>
      </c>
      <c r="E187" t="s">
        <v>54</v>
      </c>
      <c r="F187" t="s">
        <v>1412</v>
      </c>
      <c r="G187" t="s">
        <v>1413</v>
      </c>
      <c r="H187" t="s">
        <v>95</v>
      </c>
      <c r="I187" t="s">
        <v>30</v>
      </c>
      <c r="J187" t="s">
        <v>1414</v>
      </c>
      <c r="K187" t="s">
        <v>202</v>
      </c>
      <c r="L187" t="s">
        <v>1415</v>
      </c>
      <c r="M187" t="s">
        <v>99</v>
      </c>
      <c r="N187" t="s">
        <v>1416</v>
      </c>
      <c r="O187" t="s">
        <v>36</v>
      </c>
      <c r="P187" t="s">
        <v>69</v>
      </c>
      <c r="Q187" t="s">
        <v>1417</v>
      </c>
      <c r="R187">
        <v>254.744</v>
      </c>
      <c r="S187">
        <v>7</v>
      </c>
      <c r="T187">
        <v>0.6</v>
      </c>
      <c r="U187">
        <v>-312.06139999999999</v>
      </c>
      <c r="V187">
        <v>566.80539999999996</v>
      </c>
      <c r="W187">
        <v>101.89760000000001</v>
      </c>
      <c r="X187">
        <v>1.2349917626049435E-2</v>
      </c>
    </row>
    <row r="188" spans="1:24" x14ac:dyDescent="0.3">
      <c r="A188" t="s">
        <v>1418</v>
      </c>
      <c r="B188" t="s">
        <v>1419</v>
      </c>
      <c r="C188" s="1">
        <v>43089</v>
      </c>
      <c r="D188" s="1">
        <v>43093</v>
      </c>
      <c r="E188" t="s">
        <v>54</v>
      </c>
      <c r="F188" t="s">
        <v>1420</v>
      </c>
      <c r="G188" t="s">
        <v>1421</v>
      </c>
      <c r="H188" t="s">
        <v>43</v>
      </c>
      <c r="I188" t="s">
        <v>30</v>
      </c>
      <c r="J188" t="s">
        <v>1422</v>
      </c>
      <c r="K188" t="s">
        <v>262</v>
      </c>
      <c r="L188" t="s">
        <v>1423</v>
      </c>
      <c r="M188" t="s">
        <v>147</v>
      </c>
      <c r="N188" t="s">
        <v>1424</v>
      </c>
      <c r="O188" t="s">
        <v>49</v>
      </c>
      <c r="P188" t="s">
        <v>79</v>
      </c>
      <c r="Q188" t="s">
        <v>1425</v>
      </c>
      <c r="R188">
        <v>55.48</v>
      </c>
      <c r="S188">
        <v>1</v>
      </c>
      <c r="T188">
        <v>0</v>
      </c>
      <c r="U188">
        <v>26.630400000000002</v>
      </c>
      <c r="V188">
        <v>28.849599999999995</v>
      </c>
      <c r="W188">
        <v>55.48</v>
      </c>
      <c r="X188">
        <v>3.4662525650268984E-2</v>
      </c>
    </row>
    <row r="189" spans="1:24" x14ac:dyDescent="0.3">
      <c r="A189" t="s">
        <v>1426</v>
      </c>
      <c r="B189" t="s">
        <v>1427</v>
      </c>
      <c r="C189" s="1">
        <v>42683</v>
      </c>
      <c r="D189" s="1">
        <v>42685</v>
      </c>
      <c r="E189" t="s">
        <v>26</v>
      </c>
      <c r="F189" t="s">
        <v>1428</v>
      </c>
      <c r="G189" t="s">
        <v>1429</v>
      </c>
      <c r="H189" t="s">
        <v>29</v>
      </c>
      <c r="I189" t="s">
        <v>30</v>
      </c>
      <c r="J189" t="s">
        <v>126</v>
      </c>
      <c r="K189" t="s">
        <v>45</v>
      </c>
      <c r="L189" t="s">
        <v>957</v>
      </c>
      <c r="M189" t="s">
        <v>47</v>
      </c>
      <c r="N189" t="s">
        <v>1430</v>
      </c>
      <c r="O189" t="s">
        <v>49</v>
      </c>
      <c r="P189" t="s">
        <v>111</v>
      </c>
      <c r="Q189" t="s">
        <v>1431</v>
      </c>
      <c r="R189">
        <v>340.92</v>
      </c>
      <c r="S189">
        <v>3</v>
      </c>
      <c r="T189">
        <v>0</v>
      </c>
      <c r="U189">
        <v>3.4091999999999998</v>
      </c>
      <c r="V189">
        <v>337.51080000000002</v>
      </c>
      <c r="W189">
        <v>340.92</v>
      </c>
      <c r="X189">
        <v>8.8886044535463754E-3</v>
      </c>
    </row>
    <row r="190" spans="1:24" x14ac:dyDescent="0.3">
      <c r="A190" t="s">
        <v>1432</v>
      </c>
      <c r="B190" t="s">
        <v>1433</v>
      </c>
      <c r="C190" s="1">
        <v>43400</v>
      </c>
      <c r="D190" s="1">
        <v>43406</v>
      </c>
      <c r="E190" t="s">
        <v>54</v>
      </c>
      <c r="F190" t="s">
        <v>1434</v>
      </c>
      <c r="G190" t="s">
        <v>1435</v>
      </c>
      <c r="H190" t="s">
        <v>29</v>
      </c>
      <c r="I190" t="s">
        <v>30</v>
      </c>
      <c r="J190" t="s">
        <v>271</v>
      </c>
      <c r="K190" t="s">
        <v>262</v>
      </c>
      <c r="L190" t="s">
        <v>272</v>
      </c>
      <c r="M190" t="s">
        <v>147</v>
      </c>
      <c r="N190" t="s">
        <v>1006</v>
      </c>
      <c r="O190" t="s">
        <v>36</v>
      </c>
      <c r="P190" t="s">
        <v>69</v>
      </c>
      <c r="Q190" t="s">
        <v>1007</v>
      </c>
      <c r="R190">
        <v>40.200000000000003</v>
      </c>
      <c r="S190">
        <v>3</v>
      </c>
      <c r="T190">
        <v>0</v>
      </c>
      <c r="U190">
        <v>19.295999999999999</v>
      </c>
      <c r="V190">
        <v>20.904000000000003</v>
      </c>
      <c r="W190">
        <v>40.200000000000003</v>
      </c>
      <c r="X190">
        <v>0.14351320321469574</v>
      </c>
    </row>
    <row r="191" spans="1:24" x14ac:dyDescent="0.3">
      <c r="A191" t="s">
        <v>1436</v>
      </c>
      <c r="B191" t="s">
        <v>1437</v>
      </c>
      <c r="C191" s="1">
        <v>43277</v>
      </c>
      <c r="D191" s="1">
        <v>43283</v>
      </c>
      <c r="E191" t="s">
        <v>54</v>
      </c>
      <c r="F191" t="s">
        <v>1438</v>
      </c>
      <c r="G191" t="s">
        <v>1439</v>
      </c>
      <c r="H191" t="s">
        <v>43</v>
      </c>
      <c r="I191" t="s">
        <v>30</v>
      </c>
      <c r="J191" t="s">
        <v>261</v>
      </c>
      <c r="K191" t="s">
        <v>262</v>
      </c>
      <c r="L191" t="s">
        <v>263</v>
      </c>
      <c r="M191" t="s">
        <v>147</v>
      </c>
      <c r="N191" t="s">
        <v>1440</v>
      </c>
      <c r="O191" t="s">
        <v>49</v>
      </c>
      <c r="P191" t="s">
        <v>129</v>
      </c>
      <c r="Q191" t="s">
        <v>1441</v>
      </c>
      <c r="R191">
        <v>14.7</v>
      </c>
      <c r="S191">
        <v>5</v>
      </c>
      <c r="T191">
        <v>0</v>
      </c>
      <c r="U191">
        <v>6.6150000000000002</v>
      </c>
      <c r="V191">
        <v>8.0849999999999991</v>
      </c>
      <c r="W191">
        <v>14.7</v>
      </c>
      <c r="X191">
        <v>0.61842918985776141</v>
      </c>
    </row>
    <row r="192" spans="1:24" x14ac:dyDescent="0.3">
      <c r="A192" t="s">
        <v>1442</v>
      </c>
      <c r="B192" t="s">
        <v>1443</v>
      </c>
      <c r="C192" s="1">
        <v>42649</v>
      </c>
      <c r="D192" s="1">
        <v>42653</v>
      </c>
      <c r="E192" t="s">
        <v>54</v>
      </c>
      <c r="F192" t="s">
        <v>1444</v>
      </c>
      <c r="G192" t="s">
        <v>1445</v>
      </c>
      <c r="H192" t="s">
        <v>29</v>
      </c>
      <c r="I192" t="s">
        <v>30</v>
      </c>
      <c r="J192" t="s">
        <v>887</v>
      </c>
      <c r="K192" t="s">
        <v>45</v>
      </c>
      <c r="L192" t="s">
        <v>1446</v>
      </c>
      <c r="M192" t="s">
        <v>47</v>
      </c>
      <c r="N192" t="s">
        <v>1447</v>
      </c>
      <c r="O192" t="s">
        <v>186</v>
      </c>
      <c r="P192" t="s">
        <v>228</v>
      </c>
      <c r="Q192" t="s">
        <v>1448</v>
      </c>
      <c r="R192">
        <v>9.09</v>
      </c>
      <c r="S192">
        <v>3</v>
      </c>
      <c r="T192">
        <v>0</v>
      </c>
      <c r="U192">
        <v>1.9089</v>
      </c>
      <c r="V192">
        <v>7.1810999999999998</v>
      </c>
      <c r="W192">
        <v>9.09</v>
      </c>
      <c r="X192">
        <v>0.41776329531687345</v>
      </c>
    </row>
    <row r="193" spans="1:24" x14ac:dyDescent="0.3">
      <c r="A193" t="s">
        <v>1449</v>
      </c>
      <c r="B193" t="s">
        <v>1450</v>
      </c>
      <c r="C193" s="1">
        <v>42573</v>
      </c>
      <c r="D193" s="1">
        <v>42578</v>
      </c>
      <c r="E193" t="s">
        <v>54</v>
      </c>
      <c r="F193" t="s">
        <v>1451</v>
      </c>
      <c r="G193" t="s">
        <v>1452</v>
      </c>
      <c r="H193" t="s">
        <v>29</v>
      </c>
      <c r="I193" t="s">
        <v>30</v>
      </c>
      <c r="J193" t="s">
        <v>261</v>
      </c>
      <c r="K193" t="s">
        <v>262</v>
      </c>
      <c r="L193" t="s">
        <v>263</v>
      </c>
      <c r="M193" t="s">
        <v>147</v>
      </c>
      <c r="N193" t="s">
        <v>344</v>
      </c>
      <c r="O193" t="s">
        <v>49</v>
      </c>
      <c r="P193" t="s">
        <v>129</v>
      </c>
      <c r="Q193" t="s">
        <v>345</v>
      </c>
      <c r="R193">
        <v>5.96</v>
      </c>
      <c r="S193">
        <v>2</v>
      </c>
      <c r="T193">
        <v>0</v>
      </c>
      <c r="U193">
        <v>1.6688000000000001</v>
      </c>
      <c r="V193">
        <v>4.2911999999999999</v>
      </c>
      <c r="W193">
        <v>5.96</v>
      </c>
      <c r="X193">
        <v>0.46607009694258017</v>
      </c>
    </row>
    <row r="194" spans="1:24" x14ac:dyDescent="0.3">
      <c r="A194" t="s">
        <v>1453</v>
      </c>
      <c r="B194" t="s">
        <v>1454</v>
      </c>
      <c r="C194" s="1">
        <v>43626</v>
      </c>
      <c r="D194" s="1">
        <v>43629</v>
      </c>
      <c r="E194" t="s">
        <v>180</v>
      </c>
      <c r="F194" t="s">
        <v>1455</v>
      </c>
      <c r="G194" t="s">
        <v>1456</v>
      </c>
      <c r="H194" t="s">
        <v>95</v>
      </c>
      <c r="I194" t="s">
        <v>30</v>
      </c>
      <c r="J194" t="s">
        <v>44</v>
      </c>
      <c r="K194" t="s">
        <v>45</v>
      </c>
      <c r="L194" t="s">
        <v>627</v>
      </c>
      <c r="M194" t="s">
        <v>47</v>
      </c>
      <c r="N194" t="s">
        <v>1457</v>
      </c>
      <c r="O194" t="s">
        <v>49</v>
      </c>
      <c r="P194" t="s">
        <v>50</v>
      </c>
      <c r="Q194" t="s">
        <v>1458</v>
      </c>
      <c r="R194">
        <v>29.6</v>
      </c>
      <c r="S194">
        <v>2</v>
      </c>
      <c r="T194">
        <v>0</v>
      </c>
      <c r="U194">
        <v>14.8</v>
      </c>
      <c r="V194">
        <v>14.8</v>
      </c>
      <c r="W194">
        <v>29.6</v>
      </c>
      <c r="X194">
        <v>0.13513513513513511</v>
      </c>
    </row>
    <row r="195" spans="1:24" x14ac:dyDescent="0.3">
      <c r="A195" t="s">
        <v>1459</v>
      </c>
      <c r="B195" t="s">
        <v>1460</v>
      </c>
      <c r="C195" s="1">
        <v>42672</v>
      </c>
      <c r="D195" s="1">
        <v>42674</v>
      </c>
      <c r="E195" t="s">
        <v>180</v>
      </c>
      <c r="F195" t="s">
        <v>1461</v>
      </c>
      <c r="G195" t="s">
        <v>1462</v>
      </c>
      <c r="H195" t="s">
        <v>29</v>
      </c>
      <c r="I195" t="s">
        <v>30</v>
      </c>
      <c r="J195" t="s">
        <v>286</v>
      </c>
      <c r="K195" t="s">
        <v>202</v>
      </c>
      <c r="L195" t="s">
        <v>287</v>
      </c>
      <c r="M195" t="s">
        <v>99</v>
      </c>
      <c r="N195" t="s">
        <v>1463</v>
      </c>
      <c r="O195" t="s">
        <v>186</v>
      </c>
      <c r="P195" t="s">
        <v>187</v>
      </c>
      <c r="Q195" t="s">
        <v>1464</v>
      </c>
      <c r="R195">
        <v>2735.9520000000002</v>
      </c>
      <c r="S195">
        <v>6</v>
      </c>
      <c r="T195">
        <v>0.2</v>
      </c>
      <c r="U195">
        <v>341.99400000000003</v>
      </c>
      <c r="V195">
        <v>2393.9580000000001</v>
      </c>
      <c r="W195">
        <v>2188.7616000000003</v>
      </c>
      <c r="X195">
        <v>2.5063096345048657E-3</v>
      </c>
    </row>
    <row r="196" spans="1:24" x14ac:dyDescent="0.3">
      <c r="A196" t="s">
        <v>1465</v>
      </c>
      <c r="B196" t="s">
        <v>1466</v>
      </c>
      <c r="C196" s="1">
        <v>42530</v>
      </c>
      <c r="D196" s="1">
        <v>42534</v>
      </c>
      <c r="E196" t="s">
        <v>26</v>
      </c>
      <c r="F196" t="s">
        <v>1467</v>
      </c>
      <c r="G196" t="s">
        <v>1468</v>
      </c>
      <c r="H196" t="s">
        <v>95</v>
      </c>
      <c r="I196" t="s">
        <v>30</v>
      </c>
      <c r="J196" t="s">
        <v>1469</v>
      </c>
      <c r="K196" t="s">
        <v>97</v>
      </c>
      <c r="L196" t="s">
        <v>1470</v>
      </c>
      <c r="M196" t="s">
        <v>99</v>
      </c>
      <c r="N196" t="s">
        <v>1471</v>
      </c>
      <c r="O196" t="s">
        <v>186</v>
      </c>
      <c r="P196" t="s">
        <v>187</v>
      </c>
      <c r="Q196" t="s">
        <v>1472</v>
      </c>
      <c r="R196">
        <v>7.992</v>
      </c>
      <c r="S196">
        <v>1</v>
      </c>
      <c r="T196">
        <v>0.2</v>
      </c>
      <c r="U196">
        <v>0.59940000000000004</v>
      </c>
      <c r="V196">
        <v>7.3925999999999998</v>
      </c>
      <c r="W196">
        <v>6.3936000000000002</v>
      </c>
      <c r="X196">
        <v>0.13527040554067582</v>
      </c>
    </row>
    <row r="197" spans="1:24" x14ac:dyDescent="0.3">
      <c r="A197" t="s">
        <v>1473</v>
      </c>
      <c r="B197" t="s">
        <v>1474</v>
      </c>
      <c r="C197" s="1">
        <v>42627</v>
      </c>
      <c r="D197" s="1">
        <v>42632</v>
      </c>
      <c r="E197" t="s">
        <v>54</v>
      </c>
      <c r="F197" t="s">
        <v>1475</v>
      </c>
      <c r="G197" t="s">
        <v>1476</v>
      </c>
      <c r="H197" t="s">
        <v>29</v>
      </c>
      <c r="I197" t="s">
        <v>30</v>
      </c>
      <c r="J197" t="s">
        <v>365</v>
      </c>
      <c r="K197" t="s">
        <v>262</v>
      </c>
      <c r="L197" t="s">
        <v>1477</v>
      </c>
      <c r="M197" t="s">
        <v>147</v>
      </c>
      <c r="N197" t="s">
        <v>1478</v>
      </c>
      <c r="O197" t="s">
        <v>49</v>
      </c>
      <c r="P197" t="s">
        <v>111</v>
      </c>
      <c r="Q197" t="s">
        <v>1479</v>
      </c>
      <c r="R197">
        <v>449.15</v>
      </c>
      <c r="S197">
        <v>5</v>
      </c>
      <c r="T197">
        <v>0</v>
      </c>
      <c r="U197">
        <v>8.9830000000000005</v>
      </c>
      <c r="V197">
        <v>440.16699999999997</v>
      </c>
      <c r="W197">
        <v>449.15</v>
      </c>
      <c r="X197">
        <v>1.1359324983472183E-2</v>
      </c>
    </row>
    <row r="198" spans="1:24" x14ac:dyDescent="0.3">
      <c r="A198" t="s">
        <v>1480</v>
      </c>
      <c r="B198" t="s">
        <v>1481</v>
      </c>
      <c r="C198" s="1">
        <v>43229</v>
      </c>
      <c r="D198" s="1">
        <v>43234</v>
      </c>
      <c r="E198" t="s">
        <v>54</v>
      </c>
      <c r="F198" t="s">
        <v>1482</v>
      </c>
      <c r="G198" t="s">
        <v>1483</v>
      </c>
      <c r="H198" t="s">
        <v>29</v>
      </c>
      <c r="I198" t="s">
        <v>30</v>
      </c>
      <c r="J198" t="s">
        <v>85</v>
      </c>
      <c r="K198" t="s">
        <v>86</v>
      </c>
      <c r="L198" t="s">
        <v>613</v>
      </c>
      <c r="M198" t="s">
        <v>47</v>
      </c>
      <c r="N198" t="s">
        <v>1484</v>
      </c>
      <c r="O198" t="s">
        <v>186</v>
      </c>
      <c r="P198" t="s">
        <v>228</v>
      </c>
      <c r="Q198" t="s">
        <v>1485</v>
      </c>
      <c r="R198">
        <v>93.98</v>
      </c>
      <c r="S198">
        <v>2</v>
      </c>
      <c r="T198">
        <v>0</v>
      </c>
      <c r="U198">
        <v>13.1572</v>
      </c>
      <c r="V198">
        <v>80.822800000000001</v>
      </c>
      <c r="W198">
        <v>93.98</v>
      </c>
      <c r="X198">
        <v>2.4745492608521359E-2</v>
      </c>
    </row>
    <row r="199" spans="1:24" x14ac:dyDescent="0.3">
      <c r="A199" t="s">
        <v>1486</v>
      </c>
      <c r="B199" t="s">
        <v>1487</v>
      </c>
      <c r="C199" s="1">
        <v>43177</v>
      </c>
      <c r="D199" s="1">
        <v>43180</v>
      </c>
      <c r="E199" t="s">
        <v>26</v>
      </c>
      <c r="F199" t="s">
        <v>1488</v>
      </c>
      <c r="G199" t="s">
        <v>1489</v>
      </c>
      <c r="H199" t="s">
        <v>29</v>
      </c>
      <c r="I199" t="s">
        <v>30</v>
      </c>
      <c r="J199" t="s">
        <v>319</v>
      </c>
      <c r="K199" t="s">
        <v>320</v>
      </c>
      <c r="L199" t="s">
        <v>321</v>
      </c>
      <c r="M199" t="s">
        <v>34</v>
      </c>
      <c r="N199" t="s">
        <v>1490</v>
      </c>
      <c r="O199" t="s">
        <v>36</v>
      </c>
      <c r="P199" t="s">
        <v>61</v>
      </c>
      <c r="Q199" t="s">
        <v>1491</v>
      </c>
      <c r="R199">
        <v>189.88200000000001</v>
      </c>
      <c r="S199">
        <v>3</v>
      </c>
      <c r="T199">
        <v>0.4</v>
      </c>
      <c r="U199">
        <v>-94.941000000000003</v>
      </c>
      <c r="V199">
        <v>284.82299999999998</v>
      </c>
      <c r="W199">
        <v>113.92919999999999</v>
      </c>
      <c r="X199">
        <v>1.0532857248185716E-2</v>
      </c>
    </row>
    <row r="200" spans="1:24" x14ac:dyDescent="0.3">
      <c r="A200" t="s">
        <v>1492</v>
      </c>
      <c r="B200" t="s">
        <v>1493</v>
      </c>
      <c r="C200" s="1">
        <v>43096</v>
      </c>
      <c r="D200" s="1">
        <v>43100</v>
      </c>
      <c r="E200" t="s">
        <v>54</v>
      </c>
      <c r="F200" t="s">
        <v>1494</v>
      </c>
      <c r="G200" t="s">
        <v>1495</v>
      </c>
      <c r="H200" t="s">
        <v>29</v>
      </c>
      <c r="I200" t="s">
        <v>30</v>
      </c>
      <c r="J200" t="s">
        <v>1496</v>
      </c>
      <c r="K200" t="s">
        <v>1497</v>
      </c>
      <c r="L200" t="s">
        <v>1498</v>
      </c>
      <c r="M200" t="s">
        <v>34</v>
      </c>
      <c r="N200" t="s">
        <v>1499</v>
      </c>
      <c r="O200" t="s">
        <v>49</v>
      </c>
      <c r="P200" t="s">
        <v>195</v>
      </c>
      <c r="Q200" t="s">
        <v>1500</v>
      </c>
      <c r="R200">
        <v>105.42</v>
      </c>
      <c r="S200">
        <v>2</v>
      </c>
      <c r="T200">
        <v>0</v>
      </c>
      <c r="U200">
        <v>51.655799999999999</v>
      </c>
      <c r="V200">
        <v>53.764200000000002</v>
      </c>
      <c r="W200">
        <v>105.42</v>
      </c>
      <c r="X200">
        <v>3.7199474743416623E-2</v>
      </c>
    </row>
    <row r="201" spans="1:24" x14ac:dyDescent="0.3">
      <c r="A201" t="s">
        <v>1501</v>
      </c>
      <c r="B201" t="s">
        <v>1502</v>
      </c>
      <c r="C201" s="1">
        <v>43250</v>
      </c>
      <c r="D201" s="1">
        <v>43255</v>
      </c>
      <c r="E201" t="s">
        <v>54</v>
      </c>
      <c r="F201" t="s">
        <v>1503</v>
      </c>
      <c r="G201" t="s">
        <v>1504</v>
      </c>
      <c r="H201" t="s">
        <v>43</v>
      </c>
      <c r="I201" t="s">
        <v>30</v>
      </c>
      <c r="J201" t="s">
        <v>1505</v>
      </c>
      <c r="K201" t="s">
        <v>435</v>
      </c>
      <c r="L201" t="s">
        <v>1506</v>
      </c>
      <c r="M201" t="s">
        <v>47</v>
      </c>
      <c r="N201" t="s">
        <v>1507</v>
      </c>
      <c r="O201" t="s">
        <v>49</v>
      </c>
      <c r="P201" t="s">
        <v>89</v>
      </c>
      <c r="Q201" t="s">
        <v>1508</v>
      </c>
      <c r="R201">
        <v>22.62</v>
      </c>
      <c r="S201">
        <v>2</v>
      </c>
      <c r="T201">
        <v>0.7</v>
      </c>
      <c r="U201">
        <v>-15.08</v>
      </c>
      <c r="V201">
        <v>37.700000000000003</v>
      </c>
      <c r="W201">
        <v>6.7860000000000014</v>
      </c>
      <c r="X201">
        <v>5.305039787798408E-2</v>
      </c>
    </row>
    <row r="202" spans="1:24" x14ac:dyDescent="0.3">
      <c r="A202" t="s">
        <v>1509</v>
      </c>
      <c r="B202" t="s">
        <v>1510</v>
      </c>
      <c r="C202" s="1">
        <v>42810</v>
      </c>
      <c r="D202" s="1">
        <v>42816</v>
      </c>
      <c r="E202" t="s">
        <v>54</v>
      </c>
      <c r="F202" t="s">
        <v>1511</v>
      </c>
      <c r="G202" t="s">
        <v>1512</v>
      </c>
      <c r="H202" t="s">
        <v>29</v>
      </c>
      <c r="I202" t="s">
        <v>30</v>
      </c>
      <c r="J202" t="s">
        <v>1513</v>
      </c>
      <c r="K202" t="s">
        <v>1136</v>
      </c>
      <c r="L202" t="s">
        <v>1514</v>
      </c>
      <c r="M202" t="s">
        <v>34</v>
      </c>
      <c r="N202" t="s">
        <v>1515</v>
      </c>
      <c r="O202" t="s">
        <v>49</v>
      </c>
      <c r="P202" t="s">
        <v>129</v>
      </c>
      <c r="Q202" t="s">
        <v>1516</v>
      </c>
      <c r="R202">
        <v>2.74</v>
      </c>
      <c r="S202">
        <v>1</v>
      </c>
      <c r="T202">
        <v>0</v>
      </c>
      <c r="U202">
        <v>0.73980000000000001</v>
      </c>
      <c r="V202">
        <v>2.0002000000000004</v>
      </c>
      <c r="W202">
        <v>2.74</v>
      </c>
      <c r="X202">
        <v>0.49995000499949993</v>
      </c>
    </row>
    <row r="203" spans="1:24" x14ac:dyDescent="0.3">
      <c r="A203" t="s">
        <v>1517</v>
      </c>
      <c r="B203" t="s">
        <v>1518</v>
      </c>
      <c r="C203" s="1">
        <v>43795</v>
      </c>
      <c r="D203" s="1">
        <v>43796</v>
      </c>
      <c r="E203" t="s">
        <v>180</v>
      </c>
      <c r="F203" t="s">
        <v>1519</v>
      </c>
      <c r="G203" t="s">
        <v>1520</v>
      </c>
      <c r="H203" t="s">
        <v>29</v>
      </c>
      <c r="I203" t="s">
        <v>30</v>
      </c>
      <c r="J203" t="s">
        <v>1521</v>
      </c>
      <c r="K203" t="s">
        <v>560</v>
      </c>
      <c r="L203" t="s">
        <v>1522</v>
      </c>
      <c r="M203" t="s">
        <v>99</v>
      </c>
      <c r="N203" t="s">
        <v>1523</v>
      </c>
      <c r="O203" t="s">
        <v>36</v>
      </c>
      <c r="P203" t="s">
        <v>69</v>
      </c>
      <c r="Q203" t="s">
        <v>1524</v>
      </c>
      <c r="R203">
        <v>126.3</v>
      </c>
      <c r="S203">
        <v>3</v>
      </c>
      <c r="T203">
        <v>0</v>
      </c>
      <c r="U203">
        <v>40.415999999999997</v>
      </c>
      <c r="V203">
        <v>85.884</v>
      </c>
      <c r="W203">
        <v>126.3</v>
      </c>
      <c r="X203">
        <v>3.493083694285315E-2</v>
      </c>
    </row>
    <row r="204" spans="1:24" x14ac:dyDescent="0.3">
      <c r="A204" t="s">
        <v>1525</v>
      </c>
      <c r="B204" t="s">
        <v>1526</v>
      </c>
      <c r="C204" s="1">
        <v>43820</v>
      </c>
      <c r="D204" s="1">
        <v>43824</v>
      </c>
      <c r="E204" t="s">
        <v>54</v>
      </c>
      <c r="F204" t="s">
        <v>1527</v>
      </c>
      <c r="G204" t="s">
        <v>1528</v>
      </c>
      <c r="H204" t="s">
        <v>29</v>
      </c>
      <c r="I204" t="s">
        <v>30</v>
      </c>
      <c r="J204" t="s">
        <v>44</v>
      </c>
      <c r="K204" t="s">
        <v>45</v>
      </c>
      <c r="L204" t="s">
        <v>161</v>
      </c>
      <c r="M204" t="s">
        <v>47</v>
      </c>
      <c r="N204" t="s">
        <v>1529</v>
      </c>
      <c r="O204" t="s">
        <v>49</v>
      </c>
      <c r="P204" t="s">
        <v>129</v>
      </c>
      <c r="Q204" t="s">
        <v>1530</v>
      </c>
      <c r="R204">
        <v>6.63</v>
      </c>
      <c r="S204">
        <v>3</v>
      </c>
      <c r="T204">
        <v>0</v>
      </c>
      <c r="U204">
        <v>1.7901</v>
      </c>
      <c r="V204">
        <v>4.8399000000000001</v>
      </c>
      <c r="W204">
        <v>6.63</v>
      </c>
      <c r="X204">
        <v>0.61984751751069234</v>
      </c>
    </row>
    <row r="205" spans="1:24" x14ac:dyDescent="0.3">
      <c r="A205" t="s">
        <v>1531</v>
      </c>
      <c r="B205" t="s">
        <v>1532</v>
      </c>
      <c r="C205" s="1">
        <v>42816</v>
      </c>
      <c r="D205" s="1">
        <v>42820</v>
      </c>
      <c r="E205" t="s">
        <v>54</v>
      </c>
      <c r="F205" t="s">
        <v>1533</v>
      </c>
      <c r="G205" t="s">
        <v>1534</v>
      </c>
      <c r="H205" t="s">
        <v>29</v>
      </c>
      <c r="I205" t="s">
        <v>30</v>
      </c>
      <c r="J205" t="s">
        <v>174</v>
      </c>
      <c r="K205" t="s">
        <v>97</v>
      </c>
      <c r="L205" t="s">
        <v>193</v>
      </c>
      <c r="M205" t="s">
        <v>99</v>
      </c>
      <c r="N205" t="s">
        <v>227</v>
      </c>
      <c r="O205" t="s">
        <v>186</v>
      </c>
      <c r="P205" t="s">
        <v>228</v>
      </c>
      <c r="Q205" t="s">
        <v>229</v>
      </c>
      <c r="R205">
        <v>18.391999999999999</v>
      </c>
      <c r="S205">
        <v>1</v>
      </c>
      <c r="T205">
        <v>0.2</v>
      </c>
      <c r="U205">
        <v>5.2877000000000001</v>
      </c>
      <c r="V205">
        <v>13.104299999999999</v>
      </c>
      <c r="W205">
        <v>14.7136</v>
      </c>
      <c r="X205">
        <v>7.631082926978168E-2</v>
      </c>
    </row>
    <row r="206" spans="1:24" x14ac:dyDescent="0.3">
      <c r="A206" t="s">
        <v>1535</v>
      </c>
      <c r="B206" t="s">
        <v>1536</v>
      </c>
      <c r="C206" s="1">
        <v>43488</v>
      </c>
      <c r="D206" s="1">
        <v>43490</v>
      </c>
      <c r="E206" t="s">
        <v>180</v>
      </c>
      <c r="F206" t="s">
        <v>1537</v>
      </c>
      <c r="G206" t="s">
        <v>1538</v>
      </c>
      <c r="H206" t="s">
        <v>43</v>
      </c>
      <c r="I206" t="s">
        <v>30</v>
      </c>
      <c r="J206" t="s">
        <v>839</v>
      </c>
      <c r="K206" t="s">
        <v>235</v>
      </c>
      <c r="L206" t="s">
        <v>1539</v>
      </c>
      <c r="M206" t="s">
        <v>99</v>
      </c>
      <c r="N206" t="s">
        <v>1490</v>
      </c>
      <c r="O206" t="s">
        <v>36</v>
      </c>
      <c r="P206" t="s">
        <v>61</v>
      </c>
      <c r="Q206" t="s">
        <v>1491</v>
      </c>
      <c r="R206">
        <v>210.98</v>
      </c>
      <c r="S206">
        <v>2</v>
      </c>
      <c r="T206">
        <v>0</v>
      </c>
      <c r="U206">
        <v>21.097999999999999</v>
      </c>
      <c r="V206">
        <v>189.88200000000001</v>
      </c>
      <c r="W206">
        <v>210.98</v>
      </c>
      <c r="X206">
        <v>1.0532857248185715E-2</v>
      </c>
    </row>
    <row r="207" spans="1:24" x14ac:dyDescent="0.3">
      <c r="A207" t="s">
        <v>1540</v>
      </c>
      <c r="B207" t="s">
        <v>1541</v>
      </c>
      <c r="C207" s="1">
        <v>43095</v>
      </c>
      <c r="D207" s="1">
        <v>43102</v>
      </c>
      <c r="E207" t="s">
        <v>54</v>
      </c>
      <c r="F207" t="s">
        <v>1542</v>
      </c>
      <c r="G207" t="s">
        <v>1543</v>
      </c>
      <c r="H207" t="s">
        <v>29</v>
      </c>
      <c r="I207" t="s">
        <v>30</v>
      </c>
      <c r="J207" t="s">
        <v>1320</v>
      </c>
      <c r="K207" t="s">
        <v>1118</v>
      </c>
      <c r="L207" t="s">
        <v>1321</v>
      </c>
      <c r="M207" t="s">
        <v>147</v>
      </c>
      <c r="N207" t="s">
        <v>1544</v>
      </c>
      <c r="O207" t="s">
        <v>49</v>
      </c>
      <c r="P207" t="s">
        <v>265</v>
      </c>
      <c r="Q207" t="s">
        <v>1545</v>
      </c>
      <c r="R207">
        <v>22.2</v>
      </c>
      <c r="S207">
        <v>5</v>
      </c>
      <c r="T207">
        <v>0</v>
      </c>
      <c r="U207">
        <v>10.433999999999999</v>
      </c>
      <c r="V207">
        <v>11.766</v>
      </c>
      <c r="W207">
        <v>22.2</v>
      </c>
      <c r="X207">
        <v>0.42495325514193438</v>
      </c>
    </row>
    <row r="208" spans="1:24" x14ac:dyDescent="0.3">
      <c r="A208" t="s">
        <v>1546</v>
      </c>
      <c r="B208" t="s">
        <v>1547</v>
      </c>
      <c r="C208" s="1">
        <v>43759</v>
      </c>
      <c r="D208" s="1">
        <v>43764</v>
      </c>
      <c r="E208" t="s">
        <v>54</v>
      </c>
      <c r="F208" t="s">
        <v>1548</v>
      </c>
      <c r="G208" t="s">
        <v>1549</v>
      </c>
      <c r="H208" t="s">
        <v>95</v>
      </c>
      <c r="I208" t="s">
        <v>30</v>
      </c>
      <c r="J208" t="s">
        <v>1550</v>
      </c>
      <c r="K208" t="s">
        <v>58</v>
      </c>
      <c r="L208" t="s">
        <v>1551</v>
      </c>
      <c r="M208" t="s">
        <v>34</v>
      </c>
      <c r="N208" t="s">
        <v>1552</v>
      </c>
      <c r="O208" t="s">
        <v>36</v>
      </c>
      <c r="P208" t="s">
        <v>149</v>
      </c>
      <c r="Q208" t="s">
        <v>1553</v>
      </c>
      <c r="R208">
        <v>683.952</v>
      </c>
      <c r="S208">
        <v>3</v>
      </c>
      <c r="T208">
        <v>0.2</v>
      </c>
      <c r="U208">
        <v>42.747</v>
      </c>
      <c r="V208">
        <v>641.20500000000004</v>
      </c>
      <c r="W208">
        <v>547.16160000000002</v>
      </c>
      <c r="X208">
        <v>4.6786909022855398E-3</v>
      </c>
    </row>
    <row r="209" spans="1:24" x14ac:dyDescent="0.3">
      <c r="A209" t="s">
        <v>1554</v>
      </c>
      <c r="B209" t="s">
        <v>1555</v>
      </c>
      <c r="C209" s="1">
        <v>42981</v>
      </c>
      <c r="D209" s="1">
        <v>42985</v>
      </c>
      <c r="E209" t="s">
        <v>54</v>
      </c>
      <c r="F209" t="s">
        <v>1556</v>
      </c>
      <c r="G209" t="s">
        <v>1557</v>
      </c>
      <c r="H209" t="s">
        <v>29</v>
      </c>
      <c r="I209" t="s">
        <v>30</v>
      </c>
      <c r="J209" t="s">
        <v>144</v>
      </c>
      <c r="K209" t="s">
        <v>145</v>
      </c>
      <c r="L209" t="s">
        <v>634</v>
      </c>
      <c r="M209" t="s">
        <v>147</v>
      </c>
      <c r="N209" t="s">
        <v>1558</v>
      </c>
      <c r="O209" t="s">
        <v>49</v>
      </c>
      <c r="P209" t="s">
        <v>111</v>
      </c>
      <c r="Q209" t="s">
        <v>1559</v>
      </c>
      <c r="R209">
        <v>36.335999999999999</v>
      </c>
      <c r="S209">
        <v>3</v>
      </c>
      <c r="T209">
        <v>0.2</v>
      </c>
      <c r="U209">
        <v>-7.2671999999999999</v>
      </c>
      <c r="V209">
        <v>43.603200000000001</v>
      </c>
      <c r="W209">
        <v>29.0688</v>
      </c>
      <c r="X209">
        <v>6.8802289740202555E-2</v>
      </c>
    </row>
    <row r="210" spans="1:24" x14ac:dyDescent="0.3">
      <c r="A210" t="s">
        <v>1560</v>
      </c>
      <c r="B210" t="s">
        <v>1561</v>
      </c>
      <c r="C210" s="1">
        <v>43046</v>
      </c>
      <c r="D210" s="1">
        <v>43048</v>
      </c>
      <c r="E210" t="s">
        <v>26</v>
      </c>
      <c r="F210" t="s">
        <v>1562</v>
      </c>
      <c r="G210" t="s">
        <v>1563</v>
      </c>
      <c r="H210" t="s">
        <v>43</v>
      </c>
      <c r="I210" t="s">
        <v>30</v>
      </c>
      <c r="J210" t="s">
        <v>44</v>
      </c>
      <c r="K210" t="s">
        <v>45</v>
      </c>
      <c r="L210" t="s">
        <v>46</v>
      </c>
      <c r="M210" t="s">
        <v>47</v>
      </c>
      <c r="N210" t="s">
        <v>1564</v>
      </c>
      <c r="O210" t="s">
        <v>36</v>
      </c>
      <c r="P210" t="s">
        <v>149</v>
      </c>
      <c r="Q210" t="s">
        <v>1565</v>
      </c>
      <c r="R210">
        <v>190.72</v>
      </c>
      <c r="S210">
        <v>1</v>
      </c>
      <c r="T210">
        <v>0.2</v>
      </c>
      <c r="U210">
        <v>11.92</v>
      </c>
      <c r="V210">
        <v>178.8</v>
      </c>
      <c r="W210">
        <v>152.57599999999999</v>
      </c>
      <c r="X210">
        <v>5.5928411633109614E-3</v>
      </c>
    </row>
    <row r="211" spans="1:24" x14ac:dyDescent="0.3">
      <c r="A211" t="s">
        <v>1566</v>
      </c>
      <c r="B211" t="s">
        <v>1567</v>
      </c>
      <c r="C211" s="1">
        <v>43715</v>
      </c>
      <c r="D211" s="1">
        <v>43719</v>
      </c>
      <c r="E211" t="s">
        <v>54</v>
      </c>
      <c r="F211" t="s">
        <v>1568</v>
      </c>
      <c r="G211" t="s">
        <v>1569</v>
      </c>
      <c r="H211" t="s">
        <v>29</v>
      </c>
      <c r="I211" t="s">
        <v>30</v>
      </c>
      <c r="J211" t="s">
        <v>44</v>
      </c>
      <c r="K211" t="s">
        <v>45</v>
      </c>
      <c r="L211" t="s">
        <v>67</v>
      </c>
      <c r="M211" t="s">
        <v>47</v>
      </c>
      <c r="N211" t="s">
        <v>1570</v>
      </c>
      <c r="O211" t="s">
        <v>36</v>
      </c>
      <c r="P211" t="s">
        <v>69</v>
      </c>
      <c r="Q211" t="s">
        <v>1571</v>
      </c>
      <c r="R211">
        <v>47.94</v>
      </c>
      <c r="S211">
        <v>3</v>
      </c>
      <c r="T211">
        <v>0</v>
      </c>
      <c r="U211">
        <v>2.3969999999999998</v>
      </c>
      <c r="V211">
        <v>45.542999999999999</v>
      </c>
      <c r="W211">
        <v>47.94</v>
      </c>
      <c r="X211">
        <v>6.5871813451024303E-2</v>
      </c>
    </row>
    <row r="212" spans="1:24" x14ac:dyDescent="0.3">
      <c r="A212" t="s">
        <v>1572</v>
      </c>
      <c r="B212" t="s">
        <v>1573</v>
      </c>
      <c r="C212" s="1">
        <v>43249</v>
      </c>
      <c r="D212" s="1">
        <v>43252</v>
      </c>
      <c r="E212" t="s">
        <v>26</v>
      </c>
      <c r="F212" t="s">
        <v>1574</v>
      </c>
      <c r="G212" t="s">
        <v>1575</v>
      </c>
      <c r="H212" t="s">
        <v>29</v>
      </c>
      <c r="I212" t="s">
        <v>30</v>
      </c>
      <c r="J212" t="s">
        <v>1576</v>
      </c>
      <c r="K212" t="s">
        <v>335</v>
      </c>
      <c r="L212" t="s">
        <v>1577</v>
      </c>
      <c r="M212" t="s">
        <v>34</v>
      </c>
      <c r="N212" t="s">
        <v>1578</v>
      </c>
      <c r="O212" t="s">
        <v>186</v>
      </c>
      <c r="P212" t="s">
        <v>187</v>
      </c>
      <c r="Q212" t="s">
        <v>1579</v>
      </c>
      <c r="R212">
        <v>979.95</v>
      </c>
      <c r="S212">
        <v>5</v>
      </c>
      <c r="T212">
        <v>0</v>
      </c>
      <c r="U212">
        <v>274.38600000000002</v>
      </c>
      <c r="V212">
        <v>705.56400000000008</v>
      </c>
      <c r="W212">
        <v>979.95</v>
      </c>
      <c r="X212">
        <v>7.0865293580738235E-3</v>
      </c>
    </row>
    <row r="213" spans="1:24" x14ac:dyDescent="0.3">
      <c r="A213" t="s">
        <v>1580</v>
      </c>
      <c r="B213" t="s">
        <v>1581</v>
      </c>
      <c r="C213" s="1">
        <v>43291</v>
      </c>
      <c r="D213" s="1">
        <v>43297</v>
      </c>
      <c r="E213" t="s">
        <v>54</v>
      </c>
      <c r="F213" t="s">
        <v>1582</v>
      </c>
      <c r="G213" t="s">
        <v>1583</v>
      </c>
      <c r="H213" t="s">
        <v>29</v>
      </c>
      <c r="I213" t="s">
        <v>30</v>
      </c>
      <c r="J213" t="s">
        <v>1584</v>
      </c>
      <c r="K213" t="s">
        <v>295</v>
      </c>
      <c r="L213" t="s">
        <v>1585</v>
      </c>
      <c r="M213" t="s">
        <v>47</v>
      </c>
      <c r="N213" t="s">
        <v>1586</v>
      </c>
      <c r="O213" t="s">
        <v>49</v>
      </c>
      <c r="P213" t="s">
        <v>111</v>
      </c>
      <c r="Q213" t="s">
        <v>1587</v>
      </c>
      <c r="R213">
        <v>16.768000000000001</v>
      </c>
      <c r="S213">
        <v>2</v>
      </c>
      <c r="T213">
        <v>0.2</v>
      </c>
      <c r="U213">
        <v>1.4672000000000001</v>
      </c>
      <c r="V213">
        <v>15.300800000000001</v>
      </c>
      <c r="W213">
        <v>13.414400000000001</v>
      </c>
      <c r="X213">
        <v>0.13071211962773188</v>
      </c>
    </row>
    <row r="214" spans="1:24" x14ac:dyDescent="0.3">
      <c r="A214" t="s">
        <v>1588</v>
      </c>
      <c r="B214" t="s">
        <v>1589</v>
      </c>
      <c r="C214" s="1">
        <v>43711</v>
      </c>
      <c r="D214" s="1">
        <v>43716</v>
      </c>
      <c r="E214" t="s">
        <v>26</v>
      </c>
      <c r="F214" t="s">
        <v>1590</v>
      </c>
      <c r="G214" t="s">
        <v>1591</v>
      </c>
      <c r="H214" t="s">
        <v>29</v>
      </c>
      <c r="I214" t="s">
        <v>30</v>
      </c>
      <c r="J214" t="s">
        <v>286</v>
      </c>
      <c r="K214" t="s">
        <v>202</v>
      </c>
      <c r="L214" t="s">
        <v>1592</v>
      </c>
      <c r="M214" t="s">
        <v>99</v>
      </c>
      <c r="N214" t="s">
        <v>1593</v>
      </c>
      <c r="O214" t="s">
        <v>49</v>
      </c>
      <c r="P214" t="s">
        <v>89</v>
      </c>
      <c r="Q214" t="s">
        <v>1594</v>
      </c>
      <c r="R214">
        <v>42.616</v>
      </c>
      <c r="S214">
        <v>7</v>
      </c>
      <c r="T214">
        <v>0.8</v>
      </c>
      <c r="U214">
        <v>-68.185599999999994</v>
      </c>
      <c r="V214">
        <v>110.80159999999999</v>
      </c>
      <c r="W214">
        <v>8.5231999999999974</v>
      </c>
      <c r="X214">
        <v>6.3175983018295773E-2</v>
      </c>
    </row>
    <row r="215" spans="1:24" x14ac:dyDescent="0.3">
      <c r="A215" t="s">
        <v>1595</v>
      </c>
      <c r="B215" t="s">
        <v>1596</v>
      </c>
      <c r="C215" s="1">
        <v>43076</v>
      </c>
      <c r="D215" s="1">
        <v>43080</v>
      </c>
      <c r="E215" t="s">
        <v>54</v>
      </c>
      <c r="F215" t="s">
        <v>1597</v>
      </c>
      <c r="G215" t="s">
        <v>1598</v>
      </c>
      <c r="H215" t="s">
        <v>29</v>
      </c>
      <c r="I215" t="s">
        <v>30</v>
      </c>
      <c r="J215" t="s">
        <v>31</v>
      </c>
      <c r="K215" t="s">
        <v>32</v>
      </c>
      <c r="L215" t="s">
        <v>33</v>
      </c>
      <c r="M215" t="s">
        <v>34</v>
      </c>
      <c r="N215" t="s">
        <v>1599</v>
      </c>
      <c r="O215" t="s">
        <v>49</v>
      </c>
      <c r="P215" t="s">
        <v>101</v>
      </c>
      <c r="Q215" t="s">
        <v>1600</v>
      </c>
      <c r="R215">
        <v>152.94</v>
      </c>
      <c r="S215">
        <v>3</v>
      </c>
      <c r="T215">
        <v>0</v>
      </c>
      <c r="U215">
        <v>41.293799999999997</v>
      </c>
      <c r="V215">
        <v>111.64619999999999</v>
      </c>
      <c r="W215">
        <v>152.94</v>
      </c>
      <c r="X215">
        <v>2.6870596580985291E-2</v>
      </c>
    </row>
    <row r="216" spans="1:24" x14ac:dyDescent="0.3">
      <c r="A216" t="s">
        <v>1601</v>
      </c>
      <c r="B216" t="s">
        <v>1602</v>
      </c>
      <c r="C216" s="1">
        <v>42401</v>
      </c>
      <c r="D216" s="1">
        <v>42403</v>
      </c>
      <c r="E216" t="s">
        <v>180</v>
      </c>
      <c r="F216" t="s">
        <v>1603</v>
      </c>
      <c r="G216" t="s">
        <v>1604</v>
      </c>
      <c r="H216" t="s">
        <v>29</v>
      </c>
      <c r="I216" t="s">
        <v>30</v>
      </c>
      <c r="J216" t="s">
        <v>1605</v>
      </c>
      <c r="K216" t="s">
        <v>108</v>
      </c>
      <c r="L216" t="s">
        <v>1606</v>
      </c>
      <c r="M216" t="s">
        <v>99</v>
      </c>
      <c r="N216" t="s">
        <v>1607</v>
      </c>
      <c r="O216" t="s">
        <v>186</v>
      </c>
      <c r="P216" t="s">
        <v>228</v>
      </c>
      <c r="Q216" t="s">
        <v>1608</v>
      </c>
      <c r="R216">
        <v>468.9</v>
      </c>
      <c r="S216">
        <v>6</v>
      </c>
      <c r="T216">
        <v>0</v>
      </c>
      <c r="U216">
        <v>206.316</v>
      </c>
      <c r="V216">
        <v>262.58399999999995</v>
      </c>
      <c r="W216">
        <v>468.9</v>
      </c>
      <c r="X216">
        <v>2.284983091125126E-2</v>
      </c>
    </row>
    <row r="217" spans="1:24" x14ac:dyDescent="0.3">
      <c r="A217" t="s">
        <v>1609</v>
      </c>
      <c r="B217" t="s">
        <v>1610</v>
      </c>
      <c r="C217" s="1">
        <v>43087</v>
      </c>
      <c r="D217" s="1">
        <v>43092</v>
      </c>
      <c r="E217" t="s">
        <v>54</v>
      </c>
      <c r="F217" t="s">
        <v>1611</v>
      </c>
      <c r="G217" t="s">
        <v>1612</v>
      </c>
      <c r="H217" t="s">
        <v>29</v>
      </c>
      <c r="I217" t="s">
        <v>30</v>
      </c>
      <c r="J217" t="s">
        <v>303</v>
      </c>
      <c r="K217" t="s">
        <v>476</v>
      </c>
      <c r="L217" t="s">
        <v>1613</v>
      </c>
      <c r="M217" t="s">
        <v>147</v>
      </c>
      <c r="N217" t="s">
        <v>1478</v>
      </c>
      <c r="O217" t="s">
        <v>49</v>
      </c>
      <c r="P217" t="s">
        <v>111</v>
      </c>
      <c r="Q217" t="s">
        <v>1479</v>
      </c>
      <c r="R217">
        <v>646.77599999999995</v>
      </c>
      <c r="S217">
        <v>9</v>
      </c>
      <c r="T217">
        <v>0.2</v>
      </c>
      <c r="U217">
        <v>-145.52459999999999</v>
      </c>
      <c r="V217">
        <v>792.30059999999992</v>
      </c>
      <c r="W217">
        <v>517.42079999999999</v>
      </c>
      <c r="X217">
        <v>1.1359324983472183E-2</v>
      </c>
    </row>
    <row r="218" spans="1:24" x14ac:dyDescent="0.3">
      <c r="A218" t="s">
        <v>1614</v>
      </c>
      <c r="B218" t="s">
        <v>1615</v>
      </c>
      <c r="C218" s="1">
        <v>43788</v>
      </c>
      <c r="D218" s="1">
        <v>43791</v>
      </c>
      <c r="E218" t="s">
        <v>180</v>
      </c>
      <c r="F218" t="s">
        <v>1616</v>
      </c>
      <c r="G218" t="s">
        <v>1617</v>
      </c>
      <c r="H218" t="s">
        <v>95</v>
      </c>
      <c r="I218" t="s">
        <v>30</v>
      </c>
      <c r="J218" t="s">
        <v>261</v>
      </c>
      <c r="K218" t="s">
        <v>262</v>
      </c>
      <c r="L218" t="s">
        <v>459</v>
      </c>
      <c r="M218" t="s">
        <v>147</v>
      </c>
      <c r="N218" t="s">
        <v>1618</v>
      </c>
      <c r="O218" t="s">
        <v>49</v>
      </c>
      <c r="P218" t="s">
        <v>89</v>
      </c>
      <c r="Q218" t="s">
        <v>1619</v>
      </c>
      <c r="R218">
        <v>41.28</v>
      </c>
      <c r="S218">
        <v>6</v>
      </c>
      <c r="T218">
        <v>0.2</v>
      </c>
      <c r="U218">
        <v>13.932</v>
      </c>
      <c r="V218">
        <v>27.347999999999999</v>
      </c>
      <c r="W218">
        <v>33.024000000000001</v>
      </c>
      <c r="X218">
        <v>0.21939447125932426</v>
      </c>
    </row>
    <row r="219" spans="1:24" x14ac:dyDescent="0.3">
      <c r="A219" t="s">
        <v>1620</v>
      </c>
      <c r="B219" t="s">
        <v>1621</v>
      </c>
      <c r="C219" s="1">
        <v>43205</v>
      </c>
      <c r="D219" s="1">
        <v>43207</v>
      </c>
      <c r="E219" t="s">
        <v>26</v>
      </c>
      <c r="F219" t="s">
        <v>1622</v>
      </c>
      <c r="G219" t="s">
        <v>1623</v>
      </c>
      <c r="H219" t="s">
        <v>29</v>
      </c>
      <c r="I219" t="s">
        <v>30</v>
      </c>
      <c r="J219" t="s">
        <v>126</v>
      </c>
      <c r="K219" t="s">
        <v>45</v>
      </c>
      <c r="L219" t="s">
        <v>957</v>
      </c>
      <c r="M219" t="s">
        <v>47</v>
      </c>
      <c r="N219" t="s">
        <v>1624</v>
      </c>
      <c r="O219" t="s">
        <v>36</v>
      </c>
      <c r="P219" t="s">
        <v>149</v>
      </c>
      <c r="Q219" t="s">
        <v>1625</v>
      </c>
      <c r="R219">
        <v>1121.568</v>
      </c>
      <c r="S219">
        <v>2</v>
      </c>
      <c r="T219">
        <v>0.2</v>
      </c>
      <c r="U219">
        <v>0</v>
      </c>
      <c r="V219">
        <v>1121.568</v>
      </c>
      <c r="W219">
        <v>897.25440000000003</v>
      </c>
      <c r="X219">
        <v>1.7832177808211362E-3</v>
      </c>
    </row>
    <row r="220" spans="1:24" x14ac:dyDescent="0.3">
      <c r="A220" t="s">
        <v>1626</v>
      </c>
      <c r="B220" t="s">
        <v>1627</v>
      </c>
      <c r="C220" s="1">
        <v>43793</v>
      </c>
      <c r="D220" s="1">
        <v>43797</v>
      </c>
      <c r="E220" t="s">
        <v>54</v>
      </c>
      <c r="F220" t="s">
        <v>1628</v>
      </c>
      <c r="G220" t="s">
        <v>1629</v>
      </c>
      <c r="H220" t="s">
        <v>29</v>
      </c>
      <c r="I220" t="s">
        <v>30</v>
      </c>
      <c r="J220" t="s">
        <v>174</v>
      </c>
      <c r="K220" t="s">
        <v>97</v>
      </c>
      <c r="L220" t="s">
        <v>1373</v>
      </c>
      <c r="M220" t="s">
        <v>99</v>
      </c>
      <c r="N220" t="s">
        <v>1630</v>
      </c>
      <c r="O220" t="s">
        <v>49</v>
      </c>
      <c r="P220" t="s">
        <v>265</v>
      </c>
      <c r="Q220" t="s">
        <v>1631</v>
      </c>
      <c r="R220">
        <v>10.824</v>
      </c>
      <c r="S220">
        <v>3</v>
      </c>
      <c r="T220">
        <v>0.2</v>
      </c>
      <c r="U220">
        <v>2.5707</v>
      </c>
      <c r="V220">
        <v>8.2532999999999994</v>
      </c>
      <c r="W220">
        <v>8.6592000000000002</v>
      </c>
      <c r="X220">
        <v>0.36349096724946389</v>
      </c>
    </row>
    <row r="221" spans="1:24" x14ac:dyDescent="0.3">
      <c r="A221" t="s">
        <v>1632</v>
      </c>
      <c r="B221" t="s">
        <v>1633</v>
      </c>
      <c r="C221" s="1">
        <v>42432</v>
      </c>
      <c r="D221" s="1">
        <v>42436</v>
      </c>
      <c r="E221" t="s">
        <v>26</v>
      </c>
      <c r="F221" t="s">
        <v>1634</v>
      </c>
      <c r="G221" t="s">
        <v>1635</v>
      </c>
      <c r="H221" t="s">
        <v>29</v>
      </c>
      <c r="I221" t="s">
        <v>30</v>
      </c>
      <c r="J221" t="s">
        <v>498</v>
      </c>
      <c r="K221" t="s">
        <v>76</v>
      </c>
      <c r="L221" t="s">
        <v>1636</v>
      </c>
      <c r="M221" t="s">
        <v>34</v>
      </c>
      <c r="N221" t="s">
        <v>1637</v>
      </c>
      <c r="O221" t="s">
        <v>49</v>
      </c>
      <c r="P221" t="s">
        <v>129</v>
      </c>
      <c r="Q221" t="s">
        <v>1638</v>
      </c>
      <c r="R221">
        <v>19.456</v>
      </c>
      <c r="S221">
        <v>4</v>
      </c>
      <c r="T221">
        <v>0.2</v>
      </c>
      <c r="U221">
        <v>3.4047999999999998</v>
      </c>
      <c r="V221">
        <v>16.051200000000001</v>
      </c>
      <c r="W221">
        <v>15.5648</v>
      </c>
      <c r="X221">
        <v>0.24920255183413076</v>
      </c>
    </row>
    <row r="222" spans="1:24" x14ac:dyDescent="0.3">
      <c r="A222" t="s">
        <v>1639</v>
      </c>
      <c r="B222" t="s">
        <v>1640</v>
      </c>
      <c r="C222" s="1">
        <v>43261</v>
      </c>
      <c r="D222" s="1">
        <v>43266</v>
      </c>
      <c r="E222" t="s">
        <v>54</v>
      </c>
      <c r="F222" t="s">
        <v>1641</v>
      </c>
      <c r="G222" t="s">
        <v>1642</v>
      </c>
      <c r="H222" t="s">
        <v>29</v>
      </c>
      <c r="I222" t="s">
        <v>30</v>
      </c>
      <c r="J222" t="s">
        <v>44</v>
      </c>
      <c r="K222" t="s">
        <v>45</v>
      </c>
      <c r="L222" t="s">
        <v>627</v>
      </c>
      <c r="M222" t="s">
        <v>47</v>
      </c>
      <c r="N222" t="s">
        <v>1643</v>
      </c>
      <c r="O222" t="s">
        <v>49</v>
      </c>
      <c r="P222" t="s">
        <v>50</v>
      </c>
      <c r="Q222" t="s">
        <v>1644</v>
      </c>
      <c r="R222">
        <v>20.7</v>
      </c>
      <c r="S222">
        <v>2</v>
      </c>
      <c r="T222">
        <v>0</v>
      </c>
      <c r="U222">
        <v>9.9359999999999999</v>
      </c>
      <c r="V222">
        <v>10.763999999999999</v>
      </c>
      <c r="W222">
        <v>20.7</v>
      </c>
      <c r="X222">
        <v>0.18580453363062061</v>
      </c>
    </row>
    <row r="223" spans="1:24" x14ac:dyDescent="0.3">
      <c r="A223" t="s">
        <v>1645</v>
      </c>
      <c r="B223" t="s">
        <v>1646</v>
      </c>
      <c r="C223" s="1">
        <v>43789</v>
      </c>
      <c r="D223" s="1">
        <v>43791</v>
      </c>
      <c r="E223" t="s">
        <v>26</v>
      </c>
      <c r="F223" t="s">
        <v>1647</v>
      </c>
      <c r="G223" t="s">
        <v>1648</v>
      </c>
      <c r="H223" t="s">
        <v>29</v>
      </c>
      <c r="I223" t="s">
        <v>30</v>
      </c>
      <c r="J223" t="s">
        <v>126</v>
      </c>
      <c r="K223" t="s">
        <v>45</v>
      </c>
      <c r="L223" t="s">
        <v>957</v>
      </c>
      <c r="M223" t="s">
        <v>47</v>
      </c>
      <c r="N223" t="s">
        <v>1649</v>
      </c>
      <c r="O223" t="s">
        <v>36</v>
      </c>
      <c r="P223" t="s">
        <v>69</v>
      </c>
      <c r="Q223" t="s">
        <v>1650</v>
      </c>
      <c r="R223">
        <v>42.6</v>
      </c>
      <c r="S223">
        <v>3</v>
      </c>
      <c r="T223">
        <v>0</v>
      </c>
      <c r="U223">
        <v>16.614000000000001</v>
      </c>
      <c r="V223">
        <v>25.986000000000001</v>
      </c>
      <c r="W223">
        <v>42.6</v>
      </c>
      <c r="X223">
        <v>0.11544677903486493</v>
      </c>
    </row>
    <row r="224" spans="1:24" x14ac:dyDescent="0.3">
      <c r="A224" t="s">
        <v>1651</v>
      </c>
      <c r="B224" t="s">
        <v>1652</v>
      </c>
      <c r="C224" s="1">
        <v>42627</v>
      </c>
      <c r="D224" s="1">
        <v>42631</v>
      </c>
      <c r="E224" t="s">
        <v>26</v>
      </c>
      <c r="F224" t="s">
        <v>1653</v>
      </c>
      <c r="G224" t="s">
        <v>1654</v>
      </c>
      <c r="H224" t="s">
        <v>29</v>
      </c>
      <c r="I224" t="s">
        <v>30</v>
      </c>
      <c r="J224" t="s">
        <v>1655</v>
      </c>
      <c r="K224" t="s">
        <v>58</v>
      </c>
      <c r="L224" t="s">
        <v>1656</v>
      </c>
      <c r="M224" t="s">
        <v>34</v>
      </c>
      <c r="N224" t="s">
        <v>1657</v>
      </c>
      <c r="O224" t="s">
        <v>49</v>
      </c>
      <c r="P224" t="s">
        <v>101</v>
      </c>
      <c r="Q224" t="s">
        <v>1658</v>
      </c>
      <c r="R224">
        <v>13</v>
      </c>
      <c r="S224">
        <v>5</v>
      </c>
      <c r="T224">
        <v>0.2</v>
      </c>
      <c r="U224">
        <v>1.3</v>
      </c>
      <c r="V224">
        <v>11.7</v>
      </c>
      <c r="W224">
        <v>10.4</v>
      </c>
      <c r="X224">
        <v>0.42735042735042739</v>
      </c>
    </row>
    <row r="225" spans="1:24" x14ac:dyDescent="0.3">
      <c r="A225" t="s">
        <v>1659</v>
      </c>
      <c r="B225" t="s">
        <v>1660</v>
      </c>
      <c r="C225" s="1">
        <v>43076</v>
      </c>
      <c r="D225" s="1">
        <v>43078</v>
      </c>
      <c r="E225" t="s">
        <v>180</v>
      </c>
      <c r="F225" t="s">
        <v>1661</v>
      </c>
      <c r="G225" t="s">
        <v>1662</v>
      </c>
      <c r="H225" t="s">
        <v>29</v>
      </c>
      <c r="I225" t="s">
        <v>30</v>
      </c>
      <c r="J225" t="s">
        <v>85</v>
      </c>
      <c r="K225" t="s">
        <v>86</v>
      </c>
      <c r="L225" t="s">
        <v>606</v>
      </c>
      <c r="M225" t="s">
        <v>47</v>
      </c>
      <c r="N225" t="s">
        <v>1663</v>
      </c>
      <c r="O225" t="s">
        <v>49</v>
      </c>
      <c r="P225" t="s">
        <v>265</v>
      </c>
      <c r="Q225" t="s">
        <v>1664</v>
      </c>
      <c r="R225">
        <v>3.96</v>
      </c>
      <c r="S225">
        <v>2</v>
      </c>
      <c r="T225">
        <v>0</v>
      </c>
      <c r="U225">
        <v>0</v>
      </c>
      <c r="V225">
        <v>3.96</v>
      </c>
      <c r="W225">
        <v>3.96</v>
      </c>
      <c r="X225">
        <v>0.50505050505050508</v>
      </c>
    </row>
    <row r="226" spans="1:24" x14ac:dyDescent="0.3">
      <c r="A226" t="s">
        <v>1665</v>
      </c>
      <c r="B226" t="s">
        <v>1666</v>
      </c>
      <c r="C226" s="1">
        <v>43806</v>
      </c>
      <c r="D226" s="1">
        <v>43809</v>
      </c>
      <c r="E226" t="s">
        <v>180</v>
      </c>
      <c r="F226" t="s">
        <v>1667</v>
      </c>
      <c r="G226" t="s">
        <v>1668</v>
      </c>
      <c r="H226" t="s">
        <v>29</v>
      </c>
      <c r="I226" t="s">
        <v>30</v>
      </c>
      <c r="J226" t="s">
        <v>44</v>
      </c>
      <c r="K226" t="s">
        <v>45</v>
      </c>
      <c r="L226" t="s">
        <v>1669</v>
      </c>
      <c r="M226" t="s">
        <v>47</v>
      </c>
      <c r="N226" t="s">
        <v>1670</v>
      </c>
      <c r="O226" t="s">
        <v>186</v>
      </c>
      <c r="P226" t="s">
        <v>187</v>
      </c>
      <c r="Q226" t="s">
        <v>1671</v>
      </c>
      <c r="R226">
        <v>374.37599999999998</v>
      </c>
      <c r="S226">
        <v>3</v>
      </c>
      <c r="T226">
        <v>0.2</v>
      </c>
      <c r="U226">
        <v>46.796999999999997</v>
      </c>
      <c r="V226">
        <v>327.57899999999995</v>
      </c>
      <c r="W226">
        <v>299.50079999999997</v>
      </c>
      <c r="X226">
        <v>9.1580962149588364E-3</v>
      </c>
    </row>
    <row r="227" spans="1:24" x14ac:dyDescent="0.3">
      <c r="A227" t="s">
        <v>1672</v>
      </c>
      <c r="B227" t="s">
        <v>1673</v>
      </c>
      <c r="C227" s="1">
        <v>43739</v>
      </c>
      <c r="D227" s="1">
        <v>43746</v>
      </c>
      <c r="E227" t="s">
        <v>54</v>
      </c>
      <c r="F227" t="s">
        <v>1674</v>
      </c>
      <c r="G227" t="s">
        <v>1675</v>
      </c>
      <c r="H227" t="s">
        <v>43</v>
      </c>
      <c r="I227" t="s">
        <v>30</v>
      </c>
      <c r="J227" t="s">
        <v>85</v>
      </c>
      <c r="K227" t="s">
        <v>86</v>
      </c>
      <c r="L227" t="s">
        <v>606</v>
      </c>
      <c r="M227" t="s">
        <v>47</v>
      </c>
      <c r="N227" t="s">
        <v>1676</v>
      </c>
      <c r="O227" t="s">
        <v>49</v>
      </c>
      <c r="P227" t="s">
        <v>79</v>
      </c>
      <c r="Q227" t="s">
        <v>1677</v>
      </c>
      <c r="R227">
        <v>91.84</v>
      </c>
      <c r="S227">
        <v>8</v>
      </c>
      <c r="T227">
        <v>0</v>
      </c>
      <c r="U227">
        <v>45.001600000000003</v>
      </c>
      <c r="V227">
        <v>46.8384</v>
      </c>
      <c r="W227">
        <v>91.84</v>
      </c>
      <c r="X227">
        <v>0.17080002732800437</v>
      </c>
    </row>
    <row r="228" spans="1:24" x14ac:dyDescent="0.3">
      <c r="A228" t="s">
        <v>1678</v>
      </c>
      <c r="B228" t="s">
        <v>1679</v>
      </c>
      <c r="C228" s="1">
        <v>43827</v>
      </c>
      <c r="D228" s="1">
        <v>43834</v>
      </c>
      <c r="E228" t="s">
        <v>54</v>
      </c>
      <c r="F228" t="s">
        <v>1680</v>
      </c>
      <c r="G228" t="s">
        <v>1681</v>
      </c>
      <c r="H228" t="s">
        <v>29</v>
      </c>
      <c r="I228" t="s">
        <v>30</v>
      </c>
      <c r="J228" t="s">
        <v>261</v>
      </c>
      <c r="K228" t="s">
        <v>262</v>
      </c>
      <c r="L228" t="s">
        <v>263</v>
      </c>
      <c r="M228" t="s">
        <v>147</v>
      </c>
      <c r="N228" t="s">
        <v>1643</v>
      </c>
      <c r="O228" t="s">
        <v>49</v>
      </c>
      <c r="P228" t="s">
        <v>50</v>
      </c>
      <c r="Q228" t="s">
        <v>1644</v>
      </c>
      <c r="R228">
        <v>72.45</v>
      </c>
      <c r="S228">
        <v>7</v>
      </c>
      <c r="T228">
        <v>0</v>
      </c>
      <c r="U228">
        <v>34.776000000000003</v>
      </c>
      <c r="V228">
        <v>37.673999999999999</v>
      </c>
      <c r="W228">
        <v>72.45</v>
      </c>
      <c r="X228">
        <v>0.18580453363062058</v>
      </c>
    </row>
    <row r="229" spans="1:24" x14ac:dyDescent="0.3">
      <c r="A229" t="s">
        <v>1682</v>
      </c>
      <c r="B229" t="s">
        <v>1683</v>
      </c>
      <c r="C229" s="1">
        <v>43407</v>
      </c>
      <c r="D229" s="1">
        <v>43411</v>
      </c>
      <c r="E229" t="s">
        <v>54</v>
      </c>
      <c r="F229" t="s">
        <v>1684</v>
      </c>
      <c r="G229" t="s">
        <v>1685</v>
      </c>
      <c r="H229" t="s">
        <v>29</v>
      </c>
      <c r="I229" t="s">
        <v>30</v>
      </c>
      <c r="J229" t="s">
        <v>1686</v>
      </c>
      <c r="K229" t="s">
        <v>86</v>
      </c>
      <c r="L229" t="s">
        <v>1687</v>
      </c>
      <c r="M229" t="s">
        <v>47</v>
      </c>
      <c r="N229" t="s">
        <v>1688</v>
      </c>
      <c r="O229" t="s">
        <v>49</v>
      </c>
      <c r="P229" t="s">
        <v>129</v>
      </c>
      <c r="Q229" t="s">
        <v>1689</v>
      </c>
      <c r="R229">
        <v>8.82</v>
      </c>
      <c r="S229">
        <v>3</v>
      </c>
      <c r="T229">
        <v>0</v>
      </c>
      <c r="U229">
        <v>2.3814000000000002</v>
      </c>
      <c r="V229">
        <v>6.4386000000000001</v>
      </c>
      <c r="W229">
        <v>8.82</v>
      </c>
      <c r="X229">
        <v>0.46593980057776535</v>
      </c>
    </row>
    <row r="230" spans="1:24" x14ac:dyDescent="0.3">
      <c r="A230" t="s">
        <v>1690</v>
      </c>
      <c r="B230" t="s">
        <v>1691</v>
      </c>
      <c r="C230" s="1">
        <v>42996</v>
      </c>
      <c r="D230" s="1">
        <v>43000</v>
      </c>
      <c r="E230" t="s">
        <v>26</v>
      </c>
      <c r="F230" t="s">
        <v>1692</v>
      </c>
      <c r="G230" t="s">
        <v>1693</v>
      </c>
      <c r="H230" t="s">
        <v>29</v>
      </c>
      <c r="I230" t="s">
        <v>30</v>
      </c>
      <c r="J230" t="s">
        <v>1065</v>
      </c>
      <c r="K230" t="s">
        <v>45</v>
      </c>
      <c r="L230" t="s">
        <v>1066</v>
      </c>
      <c r="M230" t="s">
        <v>47</v>
      </c>
      <c r="N230" t="s">
        <v>1676</v>
      </c>
      <c r="O230" t="s">
        <v>49</v>
      </c>
      <c r="P230" t="s">
        <v>79</v>
      </c>
      <c r="Q230" t="s">
        <v>1677</v>
      </c>
      <c r="R230">
        <v>160.72</v>
      </c>
      <c r="S230">
        <v>14</v>
      </c>
      <c r="T230">
        <v>0</v>
      </c>
      <c r="U230">
        <v>78.752799999999993</v>
      </c>
      <c r="V230">
        <v>81.967200000000005</v>
      </c>
      <c r="W230">
        <v>160.72</v>
      </c>
      <c r="X230">
        <v>0.17080002732800437</v>
      </c>
    </row>
    <row r="231" spans="1:24" x14ac:dyDescent="0.3">
      <c r="A231" t="s">
        <v>1694</v>
      </c>
      <c r="B231" t="s">
        <v>1695</v>
      </c>
      <c r="C231" s="1">
        <v>43666</v>
      </c>
      <c r="D231" s="1">
        <v>43672</v>
      </c>
      <c r="E231" t="s">
        <v>54</v>
      </c>
      <c r="F231" t="s">
        <v>1696</v>
      </c>
      <c r="G231" t="s">
        <v>1697</v>
      </c>
      <c r="H231" t="s">
        <v>29</v>
      </c>
      <c r="I231" t="s">
        <v>30</v>
      </c>
      <c r="J231" t="s">
        <v>286</v>
      </c>
      <c r="K231" t="s">
        <v>202</v>
      </c>
      <c r="L231" t="s">
        <v>287</v>
      </c>
      <c r="M231" t="s">
        <v>99</v>
      </c>
      <c r="N231" t="s">
        <v>1698</v>
      </c>
      <c r="O231" t="s">
        <v>49</v>
      </c>
      <c r="P231" t="s">
        <v>111</v>
      </c>
      <c r="Q231" t="s">
        <v>1699</v>
      </c>
      <c r="R231">
        <v>69.712000000000003</v>
      </c>
      <c r="S231">
        <v>2</v>
      </c>
      <c r="T231">
        <v>0.2</v>
      </c>
      <c r="U231">
        <v>8.7140000000000004</v>
      </c>
      <c r="V231">
        <v>60.998000000000005</v>
      </c>
      <c r="W231">
        <v>55.769600000000004</v>
      </c>
      <c r="X231">
        <v>3.2787960260992163E-2</v>
      </c>
    </row>
    <row r="232" spans="1:24" x14ac:dyDescent="0.3">
      <c r="A232" t="s">
        <v>1700</v>
      </c>
      <c r="B232" t="s">
        <v>1701</v>
      </c>
      <c r="C232" s="1">
        <v>42988</v>
      </c>
      <c r="D232" s="1">
        <v>42992</v>
      </c>
      <c r="E232" t="s">
        <v>54</v>
      </c>
      <c r="F232" t="s">
        <v>1702</v>
      </c>
      <c r="G232" t="s">
        <v>1703</v>
      </c>
      <c r="H232" t="s">
        <v>29</v>
      </c>
      <c r="I232" t="s">
        <v>30</v>
      </c>
      <c r="J232" t="s">
        <v>44</v>
      </c>
      <c r="K232" t="s">
        <v>45</v>
      </c>
      <c r="L232" t="s">
        <v>279</v>
      </c>
      <c r="M232" t="s">
        <v>47</v>
      </c>
      <c r="N232" t="s">
        <v>1704</v>
      </c>
      <c r="O232" t="s">
        <v>49</v>
      </c>
      <c r="P232" t="s">
        <v>1705</v>
      </c>
      <c r="Q232" t="s">
        <v>1706</v>
      </c>
      <c r="R232">
        <v>51.52</v>
      </c>
      <c r="S232">
        <v>4</v>
      </c>
      <c r="T232">
        <v>0</v>
      </c>
      <c r="U232">
        <v>1.5456000000000001</v>
      </c>
      <c r="V232">
        <v>49.974400000000003</v>
      </c>
      <c r="W232">
        <v>51.52</v>
      </c>
      <c r="X232">
        <v>8.0040980982262908E-2</v>
      </c>
    </row>
    <row r="233" spans="1:24" x14ac:dyDescent="0.3">
      <c r="A233" t="s">
        <v>1707</v>
      </c>
      <c r="B233" t="s">
        <v>1708</v>
      </c>
      <c r="C233" s="1">
        <v>43800</v>
      </c>
      <c r="D233" s="1">
        <v>43804</v>
      </c>
      <c r="E233" t="s">
        <v>54</v>
      </c>
      <c r="F233" t="s">
        <v>1709</v>
      </c>
      <c r="G233" t="s">
        <v>1710</v>
      </c>
      <c r="H233" t="s">
        <v>29</v>
      </c>
      <c r="I233" t="s">
        <v>30</v>
      </c>
      <c r="J233" t="s">
        <v>774</v>
      </c>
      <c r="K233" t="s">
        <v>435</v>
      </c>
      <c r="L233" t="s">
        <v>775</v>
      </c>
      <c r="M233" t="s">
        <v>47</v>
      </c>
      <c r="N233" t="s">
        <v>185</v>
      </c>
      <c r="O233" t="s">
        <v>186</v>
      </c>
      <c r="P233" t="s">
        <v>187</v>
      </c>
      <c r="Q233" t="s">
        <v>188</v>
      </c>
      <c r="R233">
        <v>470.37599999999998</v>
      </c>
      <c r="S233">
        <v>3</v>
      </c>
      <c r="T233">
        <v>0.2</v>
      </c>
      <c r="U233">
        <v>52.917299999999997</v>
      </c>
      <c r="V233">
        <v>417.45869999999996</v>
      </c>
      <c r="W233">
        <v>376.30079999999998</v>
      </c>
      <c r="X233">
        <v>7.1863396307227526E-3</v>
      </c>
    </row>
    <row r="234" spans="1:24" x14ac:dyDescent="0.3">
      <c r="A234" t="s">
        <v>1711</v>
      </c>
      <c r="B234" t="s">
        <v>1712</v>
      </c>
      <c r="C234" s="1">
        <v>42919</v>
      </c>
      <c r="D234" s="1">
        <v>42925</v>
      </c>
      <c r="E234" t="s">
        <v>54</v>
      </c>
      <c r="F234" t="s">
        <v>1713</v>
      </c>
      <c r="G234" t="s">
        <v>1714</v>
      </c>
      <c r="H234" t="s">
        <v>29</v>
      </c>
      <c r="I234" t="s">
        <v>30</v>
      </c>
      <c r="J234" t="s">
        <v>1715</v>
      </c>
      <c r="K234" t="s">
        <v>32</v>
      </c>
      <c r="L234" t="s">
        <v>1716</v>
      </c>
      <c r="M234" t="s">
        <v>34</v>
      </c>
      <c r="N234" t="s">
        <v>1717</v>
      </c>
      <c r="O234" t="s">
        <v>36</v>
      </c>
      <c r="P234" t="s">
        <v>149</v>
      </c>
      <c r="Q234" t="s">
        <v>1718</v>
      </c>
      <c r="R234">
        <v>70.98</v>
      </c>
      <c r="S234">
        <v>1</v>
      </c>
      <c r="T234">
        <v>0</v>
      </c>
      <c r="U234">
        <v>4.9686000000000003</v>
      </c>
      <c r="V234">
        <v>66.011400000000009</v>
      </c>
      <c r="W234">
        <v>70.98</v>
      </c>
      <c r="X234">
        <v>1.5148898523588347E-2</v>
      </c>
    </row>
    <row r="235" spans="1:24" x14ac:dyDescent="0.3">
      <c r="A235" t="s">
        <v>1719</v>
      </c>
      <c r="B235" t="s">
        <v>1720</v>
      </c>
      <c r="C235" s="1">
        <v>43179</v>
      </c>
      <c r="D235" s="1">
        <v>43183</v>
      </c>
      <c r="E235" t="s">
        <v>54</v>
      </c>
      <c r="F235" t="s">
        <v>1721</v>
      </c>
      <c r="G235" t="s">
        <v>1722</v>
      </c>
      <c r="H235" t="s">
        <v>29</v>
      </c>
      <c r="I235" t="s">
        <v>30</v>
      </c>
      <c r="J235" t="s">
        <v>1723</v>
      </c>
      <c r="K235" t="s">
        <v>394</v>
      </c>
      <c r="L235" t="s">
        <v>1724</v>
      </c>
      <c r="M235" t="s">
        <v>47</v>
      </c>
      <c r="N235" t="s">
        <v>1725</v>
      </c>
      <c r="O235" t="s">
        <v>186</v>
      </c>
      <c r="P235" t="s">
        <v>187</v>
      </c>
      <c r="Q235" t="s">
        <v>1726</v>
      </c>
      <c r="R235">
        <v>84.784000000000006</v>
      </c>
      <c r="S235">
        <v>2</v>
      </c>
      <c r="T235">
        <v>0.2</v>
      </c>
      <c r="U235">
        <v>-20.136199999999999</v>
      </c>
      <c r="V235">
        <v>104.92020000000001</v>
      </c>
      <c r="W235">
        <v>67.827200000000005</v>
      </c>
      <c r="X235">
        <v>1.9062106248367804E-2</v>
      </c>
    </row>
    <row r="236" spans="1:24" x14ac:dyDescent="0.3">
      <c r="A236" t="s">
        <v>1727</v>
      </c>
      <c r="B236" t="s">
        <v>1728</v>
      </c>
      <c r="C236" s="1">
        <v>42378</v>
      </c>
      <c r="D236" s="1">
        <v>42382</v>
      </c>
      <c r="E236" t="s">
        <v>54</v>
      </c>
      <c r="F236" t="s">
        <v>1729</v>
      </c>
      <c r="G236" t="s">
        <v>1730</v>
      </c>
      <c r="H236" t="s">
        <v>29</v>
      </c>
      <c r="I236" t="s">
        <v>30</v>
      </c>
      <c r="J236" t="s">
        <v>1731</v>
      </c>
      <c r="K236" t="s">
        <v>97</v>
      </c>
      <c r="L236" t="s">
        <v>1732</v>
      </c>
      <c r="M236" t="s">
        <v>99</v>
      </c>
      <c r="N236" t="s">
        <v>1733</v>
      </c>
      <c r="O236" t="s">
        <v>49</v>
      </c>
      <c r="P236" t="s">
        <v>129</v>
      </c>
      <c r="Q236" t="s">
        <v>1734</v>
      </c>
      <c r="R236">
        <v>9.3439999999999994</v>
      </c>
      <c r="S236">
        <v>2</v>
      </c>
      <c r="T236">
        <v>0.2</v>
      </c>
      <c r="U236">
        <v>1.1679999999999999</v>
      </c>
      <c r="V236">
        <v>8.1760000000000002</v>
      </c>
      <c r="W236">
        <v>7.4752000000000001</v>
      </c>
      <c r="X236">
        <v>0.2446183953033268</v>
      </c>
    </row>
    <row r="237" spans="1:24" x14ac:dyDescent="0.3">
      <c r="A237" t="s">
        <v>1735</v>
      </c>
      <c r="B237" t="s">
        <v>1736</v>
      </c>
      <c r="C237" s="1">
        <v>42590</v>
      </c>
      <c r="D237" s="1">
        <v>42597</v>
      </c>
      <c r="E237" t="s">
        <v>54</v>
      </c>
      <c r="F237" t="s">
        <v>1737</v>
      </c>
      <c r="G237" t="s">
        <v>1738</v>
      </c>
      <c r="H237" t="s">
        <v>29</v>
      </c>
      <c r="I237" t="s">
        <v>30</v>
      </c>
      <c r="J237" t="s">
        <v>887</v>
      </c>
      <c r="K237" t="s">
        <v>45</v>
      </c>
      <c r="L237" t="s">
        <v>1446</v>
      </c>
      <c r="M237" t="s">
        <v>47</v>
      </c>
      <c r="N237" t="s">
        <v>1739</v>
      </c>
      <c r="O237" t="s">
        <v>49</v>
      </c>
      <c r="P237" t="s">
        <v>101</v>
      </c>
      <c r="Q237" t="s">
        <v>1740</v>
      </c>
      <c r="R237">
        <v>76.12</v>
      </c>
      <c r="S237">
        <v>2</v>
      </c>
      <c r="T237">
        <v>0</v>
      </c>
      <c r="U237">
        <v>22.0748</v>
      </c>
      <c r="V237">
        <v>54.045200000000008</v>
      </c>
      <c r="W237">
        <v>76.12</v>
      </c>
      <c r="X237">
        <v>3.7006061592888911E-2</v>
      </c>
    </row>
    <row r="238" spans="1:24" x14ac:dyDescent="0.3">
      <c r="A238" t="s">
        <v>1741</v>
      </c>
      <c r="B238" t="s">
        <v>1742</v>
      </c>
      <c r="C238" s="1">
        <v>43295</v>
      </c>
      <c r="D238" s="1">
        <v>43297</v>
      </c>
      <c r="E238" t="s">
        <v>180</v>
      </c>
      <c r="F238" t="s">
        <v>1743</v>
      </c>
      <c r="G238" t="s">
        <v>1744</v>
      </c>
      <c r="H238" t="s">
        <v>29</v>
      </c>
      <c r="I238" t="s">
        <v>30</v>
      </c>
      <c r="J238" t="s">
        <v>144</v>
      </c>
      <c r="K238" t="s">
        <v>145</v>
      </c>
      <c r="L238" t="s">
        <v>634</v>
      </c>
      <c r="M238" t="s">
        <v>147</v>
      </c>
      <c r="N238" t="s">
        <v>1745</v>
      </c>
      <c r="O238" t="s">
        <v>49</v>
      </c>
      <c r="P238" t="s">
        <v>1705</v>
      </c>
      <c r="Q238" t="s">
        <v>1746</v>
      </c>
      <c r="R238">
        <v>11.632</v>
      </c>
      <c r="S238">
        <v>2</v>
      </c>
      <c r="T238">
        <v>0.2</v>
      </c>
      <c r="U238">
        <v>1.0178</v>
      </c>
      <c r="V238">
        <v>10.6142</v>
      </c>
      <c r="W238">
        <v>9.3056000000000001</v>
      </c>
      <c r="X238">
        <v>0.18842682444272765</v>
      </c>
    </row>
    <row r="239" spans="1:24" x14ac:dyDescent="0.3">
      <c r="A239" t="s">
        <v>1747</v>
      </c>
      <c r="B239" t="s">
        <v>1748</v>
      </c>
      <c r="C239" s="1">
        <v>43297</v>
      </c>
      <c r="D239" s="1">
        <v>43302</v>
      </c>
      <c r="E239" t="s">
        <v>54</v>
      </c>
      <c r="F239" t="s">
        <v>1749</v>
      </c>
      <c r="G239" t="s">
        <v>1750</v>
      </c>
      <c r="H239" t="s">
        <v>29</v>
      </c>
      <c r="I239" t="s">
        <v>30</v>
      </c>
      <c r="J239" t="s">
        <v>144</v>
      </c>
      <c r="K239" t="s">
        <v>145</v>
      </c>
      <c r="L239" t="s">
        <v>759</v>
      </c>
      <c r="M239" t="s">
        <v>147</v>
      </c>
      <c r="N239" t="s">
        <v>1751</v>
      </c>
      <c r="O239" t="s">
        <v>186</v>
      </c>
      <c r="P239" t="s">
        <v>187</v>
      </c>
      <c r="Q239" t="s">
        <v>1752</v>
      </c>
      <c r="R239">
        <v>143.982</v>
      </c>
      <c r="S239">
        <v>3</v>
      </c>
      <c r="T239">
        <v>0.4</v>
      </c>
      <c r="U239">
        <v>-28.796399999999998</v>
      </c>
      <c r="V239">
        <v>172.7784</v>
      </c>
      <c r="W239">
        <v>86.389200000000002</v>
      </c>
      <c r="X239">
        <v>1.7363281521301274E-2</v>
      </c>
    </row>
    <row r="240" spans="1:24" x14ac:dyDescent="0.3">
      <c r="A240" t="s">
        <v>1753</v>
      </c>
      <c r="B240" t="s">
        <v>1754</v>
      </c>
      <c r="C240" s="1">
        <v>42444</v>
      </c>
      <c r="D240" s="1">
        <v>42448</v>
      </c>
      <c r="E240" t="s">
        <v>54</v>
      </c>
      <c r="F240" t="s">
        <v>1755</v>
      </c>
      <c r="G240" t="s">
        <v>1756</v>
      </c>
      <c r="H240" t="s">
        <v>29</v>
      </c>
      <c r="I240" t="s">
        <v>30</v>
      </c>
      <c r="J240" t="s">
        <v>1655</v>
      </c>
      <c r="K240" t="s">
        <v>58</v>
      </c>
      <c r="L240" t="s">
        <v>1656</v>
      </c>
      <c r="M240" t="s">
        <v>34</v>
      </c>
      <c r="N240" t="s">
        <v>1757</v>
      </c>
      <c r="O240" t="s">
        <v>49</v>
      </c>
      <c r="P240" t="s">
        <v>111</v>
      </c>
      <c r="Q240" t="s">
        <v>1758</v>
      </c>
      <c r="R240">
        <v>142.77600000000001</v>
      </c>
      <c r="S240">
        <v>1</v>
      </c>
      <c r="T240">
        <v>0.2</v>
      </c>
      <c r="U240">
        <v>17.847000000000001</v>
      </c>
      <c r="V240">
        <v>124.929</v>
      </c>
      <c r="W240">
        <v>114.22080000000001</v>
      </c>
      <c r="X240">
        <v>8.0045465824588359E-3</v>
      </c>
    </row>
    <row r="241" spans="1:24" x14ac:dyDescent="0.3">
      <c r="A241" t="s">
        <v>1759</v>
      </c>
      <c r="B241" t="s">
        <v>1760</v>
      </c>
      <c r="C241" s="1">
        <v>42513</v>
      </c>
      <c r="D241" s="1">
        <v>42517</v>
      </c>
      <c r="E241" t="s">
        <v>54</v>
      </c>
      <c r="F241" t="s">
        <v>1761</v>
      </c>
      <c r="G241" t="s">
        <v>1762</v>
      </c>
      <c r="H241" t="s">
        <v>29</v>
      </c>
      <c r="I241" t="s">
        <v>30</v>
      </c>
      <c r="J241" t="s">
        <v>144</v>
      </c>
      <c r="K241" t="s">
        <v>145</v>
      </c>
      <c r="L241" t="s">
        <v>634</v>
      </c>
      <c r="M241" t="s">
        <v>147</v>
      </c>
      <c r="N241" t="s">
        <v>1763</v>
      </c>
      <c r="O241" t="s">
        <v>49</v>
      </c>
      <c r="P241" t="s">
        <v>89</v>
      </c>
      <c r="Q241" t="s">
        <v>1764</v>
      </c>
      <c r="R241">
        <v>3.282</v>
      </c>
      <c r="S241">
        <v>2</v>
      </c>
      <c r="T241">
        <v>0.7</v>
      </c>
      <c r="U241">
        <v>-2.6255999999999999</v>
      </c>
      <c r="V241">
        <v>5.9076000000000004</v>
      </c>
      <c r="W241">
        <v>0.98460000000000014</v>
      </c>
      <c r="X241">
        <v>0.33854695646286137</v>
      </c>
    </row>
    <row r="242" spans="1:24" x14ac:dyDescent="0.3">
      <c r="A242" t="s">
        <v>1765</v>
      </c>
      <c r="B242" t="s">
        <v>1766</v>
      </c>
      <c r="C242" s="1">
        <v>43218</v>
      </c>
      <c r="D242" s="1">
        <v>43221</v>
      </c>
      <c r="E242" t="s">
        <v>180</v>
      </c>
      <c r="F242" t="s">
        <v>1767</v>
      </c>
      <c r="G242" t="s">
        <v>1768</v>
      </c>
      <c r="H242" t="s">
        <v>43</v>
      </c>
      <c r="I242" t="s">
        <v>30</v>
      </c>
      <c r="J242" t="s">
        <v>782</v>
      </c>
      <c r="K242" t="s">
        <v>97</v>
      </c>
      <c r="L242" t="s">
        <v>1769</v>
      </c>
      <c r="M242" t="s">
        <v>99</v>
      </c>
      <c r="N242" t="s">
        <v>1242</v>
      </c>
      <c r="O242" t="s">
        <v>186</v>
      </c>
      <c r="P242" t="s">
        <v>187</v>
      </c>
      <c r="Q242" t="s">
        <v>1243</v>
      </c>
      <c r="R242">
        <v>369.57600000000002</v>
      </c>
      <c r="S242">
        <v>3</v>
      </c>
      <c r="T242">
        <v>0.2</v>
      </c>
      <c r="U242">
        <v>41.577300000000001</v>
      </c>
      <c r="V242">
        <v>327.99870000000004</v>
      </c>
      <c r="W242">
        <v>295.66080000000005</v>
      </c>
      <c r="X242">
        <v>9.1463777143019152E-3</v>
      </c>
    </row>
    <row r="243" spans="1:24" x14ac:dyDescent="0.3">
      <c r="A243" t="s">
        <v>1770</v>
      </c>
      <c r="B243" t="s">
        <v>1771</v>
      </c>
      <c r="C243" s="1">
        <v>43354</v>
      </c>
      <c r="D243" s="1">
        <v>43356</v>
      </c>
      <c r="E243" t="s">
        <v>26</v>
      </c>
      <c r="F243" t="s">
        <v>1772</v>
      </c>
      <c r="G243" t="s">
        <v>1773</v>
      </c>
      <c r="H243" t="s">
        <v>43</v>
      </c>
      <c r="I243" t="s">
        <v>30</v>
      </c>
      <c r="J243" t="s">
        <v>144</v>
      </c>
      <c r="K243" t="s">
        <v>145</v>
      </c>
      <c r="L243" t="s">
        <v>1052</v>
      </c>
      <c r="M243" t="s">
        <v>147</v>
      </c>
      <c r="N243" t="s">
        <v>1774</v>
      </c>
      <c r="O243" t="s">
        <v>49</v>
      </c>
      <c r="P243" t="s">
        <v>79</v>
      </c>
      <c r="Q243" t="s">
        <v>1775</v>
      </c>
      <c r="R243">
        <v>8.4480000000000004</v>
      </c>
      <c r="S243">
        <v>2</v>
      </c>
      <c r="T243">
        <v>0.2</v>
      </c>
      <c r="U243">
        <v>2.64</v>
      </c>
      <c r="V243">
        <v>5.8079999999999998</v>
      </c>
      <c r="W243">
        <v>6.7584000000000009</v>
      </c>
      <c r="X243">
        <v>0.34435261707988984</v>
      </c>
    </row>
    <row r="244" spans="1:24" x14ac:dyDescent="0.3">
      <c r="A244" t="s">
        <v>1776</v>
      </c>
      <c r="B244" t="s">
        <v>1777</v>
      </c>
      <c r="C244" s="1">
        <v>43783</v>
      </c>
      <c r="D244" s="1">
        <v>43786</v>
      </c>
      <c r="E244" t="s">
        <v>26</v>
      </c>
      <c r="F244" t="s">
        <v>1778</v>
      </c>
      <c r="G244" t="s">
        <v>1779</v>
      </c>
      <c r="H244" t="s">
        <v>29</v>
      </c>
      <c r="I244" t="s">
        <v>30</v>
      </c>
      <c r="J244" t="s">
        <v>1780</v>
      </c>
      <c r="K244" t="s">
        <v>476</v>
      </c>
      <c r="L244" t="s">
        <v>1781</v>
      </c>
      <c r="M244" t="s">
        <v>147</v>
      </c>
      <c r="N244" t="s">
        <v>1782</v>
      </c>
      <c r="O244" t="s">
        <v>186</v>
      </c>
      <c r="P244" t="s">
        <v>187</v>
      </c>
      <c r="Q244" t="s">
        <v>1783</v>
      </c>
      <c r="R244">
        <v>119.94</v>
      </c>
      <c r="S244">
        <v>10</v>
      </c>
      <c r="T244">
        <v>0.4</v>
      </c>
      <c r="U244">
        <v>15.992000000000001</v>
      </c>
      <c r="V244">
        <v>103.94799999999999</v>
      </c>
      <c r="W244">
        <v>71.963999999999999</v>
      </c>
      <c r="X244">
        <v>9.620194712740987E-2</v>
      </c>
    </row>
    <row r="245" spans="1:24" x14ac:dyDescent="0.3">
      <c r="A245" t="s">
        <v>1784</v>
      </c>
      <c r="B245" t="s">
        <v>1785</v>
      </c>
      <c r="C245" s="1">
        <v>43695</v>
      </c>
      <c r="D245" s="1">
        <v>43700</v>
      </c>
      <c r="E245" t="s">
        <v>26</v>
      </c>
      <c r="F245" t="s">
        <v>1786</v>
      </c>
      <c r="G245" t="s">
        <v>1787</v>
      </c>
      <c r="H245" t="s">
        <v>43</v>
      </c>
      <c r="I245" t="s">
        <v>30</v>
      </c>
      <c r="J245" t="s">
        <v>261</v>
      </c>
      <c r="K245" t="s">
        <v>262</v>
      </c>
      <c r="L245" t="s">
        <v>1788</v>
      </c>
      <c r="M245" t="s">
        <v>147</v>
      </c>
      <c r="N245" t="s">
        <v>1789</v>
      </c>
      <c r="O245" t="s">
        <v>36</v>
      </c>
      <c r="P245" t="s">
        <v>69</v>
      </c>
      <c r="Q245" t="s">
        <v>1790</v>
      </c>
      <c r="R245">
        <v>40.479999999999997</v>
      </c>
      <c r="S245">
        <v>2</v>
      </c>
      <c r="T245">
        <v>0</v>
      </c>
      <c r="U245">
        <v>15.7872</v>
      </c>
      <c r="V245">
        <v>24.692799999999998</v>
      </c>
      <c r="W245">
        <v>40.479999999999997</v>
      </c>
      <c r="X245">
        <v>8.0995269876239229E-2</v>
      </c>
    </row>
    <row r="246" spans="1:24" x14ac:dyDescent="0.3">
      <c r="A246" t="s">
        <v>1791</v>
      </c>
      <c r="B246" t="s">
        <v>1792</v>
      </c>
      <c r="C246" s="1">
        <v>42730</v>
      </c>
      <c r="D246" s="1">
        <v>42735</v>
      </c>
      <c r="E246" t="s">
        <v>54</v>
      </c>
      <c r="F246" t="s">
        <v>1793</v>
      </c>
      <c r="G246" t="s">
        <v>1794</v>
      </c>
      <c r="H246" t="s">
        <v>29</v>
      </c>
      <c r="I246" t="s">
        <v>30</v>
      </c>
      <c r="J246" t="s">
        <v>286</v>
      </c>
      <c r="K246" t="s">
        <v>202</v>
      </c>
      <c r="L246" t="s">
        <v>287</v>
      </c>
      <c r="M246" t="s">
        <v>99</v>
      </c>
      <c r="N246" t="s">
        <v>1795</v>
      </c>
      <c r="O246" t="s">
        <v>49</v>
      </c>
      <c r="P246" t="s">
        <v>89</v>
      </c>
      <c r="Q246" t="s">
        <v>1796</v>
      </c>
      <c r="R246">
        <v>8.69</v>
      </c>
      <c r="S246">
        <v>5</v>
      </c>
      <c r="T246">
        <v>0.8</v>
      </c>
      <c r="U246">
        <v>-14.773</v>
      </c>
      <c r="V246">
        <v>23.463000000000001</v>
      </c>
      <c r="W246">
        <v>1.7379999999999995</v>
      </c>
      <c r="X246">
        <v>0.21310147892426373</v>
      </c>
    </row>
    <row r="247" spans="1:24" x14ac:dyDescent="0.3">
      <c r="A247" t="s">
        <v>1797</v>
      </c>
      <c r="B247" t="s">
        <v>1798</v>
      </c>
      <c r="C247" s="1">
        <v>43068</v>
      </c>
      <c r="D247" s="1">
        <v>43072</v>
      </c>
      <c r="E247" t="s">
        <v>54</v>
      </c>
      <c r="F247" t="s">
        <v>1799</v>
      </c>
      <c r="G247" t="s">
        <v>1800</v>
      </c>
      <c r="H247" t="s">
        <v>43</v>
      </c>
      <c r="I247" t="s">
        <v>30</v>
      </c>
      <c r="J247" t="s">
        <v>1801</v>
      </c>
      <c r="K247" t="s">
        <v>235</v>
      </c>
      <c r="L247" t="s">
        <v>1802</v>
      </c>
      <c r="M247" t="s">
        <v>99</v>
      </c>
      <c r="N247" t="s">
        <v>1803</v>
      </c>
      <c r="O247" t="s">
        <v>36</v>
      </c>
      <c r="P247" t="s">
        <v>149</v>
      </c>
      <c r="Q247" t="s">
        <v>1804</v>
      </c>
      <c r="R247">
        <v>301.95999999999998</v>
      </c>
      <c r="S247">
        <v>2</v>
      </c>
      <c r="T247">
        <v>0</v>
      </c>
      <c r="U247">
        <v>87.568399999999997</v>
      </c>
      <c r="V247">
        <v>214.39159999999998</v>
      </c>
      <c r="W247">
        <v>301.95999999999998</v>
      </c>
      <c r="X247">
        <v>9.3287236999957095E-3</v>
      </c>
    </row>
    <row r="248" spans="1:24" x14ac:dyDescent="0.3">
      <c r="A248" t="s">
        <v>1805</v>
      </c>
      <c r="B248" t="s">
        <v>1806</v>
      </c>
      <c r="C248" s="1">
        <v>43723</v>
      </c>
      <c r="D248" s="1">
        <v>43727</v>
      </c>
      <c r="E248" t="s">
        <v>54</v>
      </c>
      <c r="F248" t="s">
        <v>1807</v>
      </c>
      <c r="G248" t="s">
        <v>1808</v>
      </c>
      <c r="H248" t="s">
        <v>95</v>
      </c>
      <c r="I248" t="s">
        <v>30</v>
      </c>
      <c r="J248" t="s">
        <v>261</v>
      </c>
      <c r="K248" t="s">
        <v>262</v>
      </c>
      <c r="L248" t="s">
        <v>312</v>
      </c>
      <c r="M248" t="s">
        <v>147</v>
      </c>
      <c r="N248" t="s">
        <v>1809</v>
      </c>
      <c r="O248" t="s">
        <v>36</v>
      </c>
      <c r="P248" t="s">
        <v>69</v>
      </c>
      <c r="Q248" t="s">
        <v>1810</v>
      </c>
      <c r="R248">
        <v>35.56</v>
      </c>
      <c r="S248">
        <v>7</v>
      </c>
      <c r="T248">
        <v>0</v>
      </c>
      <c r="U248">
        <v>12.090400000000001</v>
      </c>
      <c r="V248">
        <v>23.4696</v>
      </c>
      <c r="W248">
        <v>35.56</v>
      </c>
      <c r="X248">
        <v>0.29825817227392032</v>
      </c>
    </row>
    <row r="249" spans="1:24" x14ac:dyDescent="0.3">
      <c r="A249" t="s">
        <v>1811</v>
      </c>
      <c r="B249" t="s">
        <v>1812</v>
      </c>
      <c r="C249" s="1">
        <v>43604</v>
      </c>
      <c r="D249" s="1">
        <v>43608</v>
      </c>
      <c r="E249" t="s">
        <v>54</v>
      </c>
      <c r="F249" t="s">
        <v>1813</v>
      </c>
      <c r="G249" t="s">
        <v>1814</v>
      </c>
      <c r="H249" t="s">
        <v>29</v>
      </c>
      <c r="I249" t="s">
        <v>30</v>
      </c>
      <c r="J249" t="s">
        <v>85</v>
      </c>
      <c r="K249" t="s">
        <v>86</v>
      </c>
      <c r="L249" t="s">
        <v>613</v>
      </c>
      <c r="M249" t="s">
        <v>47</v>
      </c>
      <c r="N249" t="s">
        <v>1815</v>
      </c>
      <c r="O249" t="s">
        <v>49</v>
      </c>
      <c r="P249" t="s">
        <v>101</v>
      </c>
      <c r="Q249" t="s">
        <v>1816</v>
      </c>
      <c r="R249">
        <v>97.16</v>
      </c>
      <c r="S249">
        <v>2</v>
      </c>
      <c r="T249">
        <v>0</v>
      </c>
      <c r="U249">
        <v>28.176400000000001</v>
      </c>
      <c r="V249">
        <v>68.983599999999996</v>
      </c>
      <c r="W249">
        <v>97.16</v>
      </c>
      <c r="X249">
        <v>2.8992398193193745E-2</v>
      </c>
    </row>
    <row r="250" spans="1:24" x14ac:dyDescent="0.3">
      <c r="A250" t="s">
        <v>1817</v>
      </c>
      <c r="B250" t="s">
        <v>1818</v>
      </c>
      <c r="C250" s="1">
        <v>43445</v>
      </c>
      <c r="D250" s="1">
        <v>43447</v>
      </c>
      <c r="E250" t="s">
        <v>26</v>
      </c>
      <c r="F250" t="s">
        <v>1819</v>
      </c>
      <c r="G250" t="s">
        <v>1820</v>
      </c>
      <c r="H250" t="s">
        <v>29</v>
      </c>
      <c r="I250" t="s">
        <v>30</v>
      </c>
      <c r="J250" t="s">
        <v>434</v>
      </c>
      <c r="K250" t="s">
        <v>435</v>
      </c>
      <c r="L250" t="s">
        <v>436</v>
      </c>
      <c r="M250" t="s">
        <v>47</v>
      </c>
      <c r="N250" t="s">
        <v>1821</v>
      </c>
      <c r="O250" t="s">
        <v>49</v>
      </c>
      <c r="P250" t="s">
        <v>111</v>
      </c>
      <c r="Q250" t="s">
        <v>1822</v>
      </c>
      <c r="R250">
        <v>243.38399999999999</v>
      </c>
      <c r="S250">
        <v>3</v>
      </c>
      <c r="T250">
        <v>0.2</v>
      </c>
      <c r="U250">
        <v>-51.719099999999997</v>
      </c>
      <c r="V250">
        <v>295.10309999999998</v>
      </c>
      <c r="W250">
        <v>194.7072</v>
      </c>
      <c r="X250">
        <v>1.0165938616029449E-2</v>
      </c>
    </row>
    <row r="251" spans="1:24" x14ac:dyDescent="0.3">
      <c r="A251" t="s">
        <v>1823</v>
      </c>
      <c r="B251" t="s">
        <v>1824</v>
      </c>
      <c r="C251" s="1">
        <v>43012</v>
      </c>
      <c r="D251" s="1">
        <v>43017</v>
      </c>
      <c r="E251" t="s">
        <v>26</v>
      </c>
      <c r="F251" t="s">
        <v>1825</v>
      </c>
      <c r="G251" t="s">
        <v>1826</v>
      </c>
      <c r="H251" t="s">
        <v>43</v>
      </c>
      <c r="I251" t="s">
        <v>30</v>
      </c>
      <c r="J251" t="s">
        <v>1827</v>
      </c>
      <c r="K251" t="s">
        <v>1136</v>
      </c>
      <c r="L251" t="s">
        <v>1828</v>
      </c>
      <c r="M251" t="s">
        <v>34</v>
      </c>
      <c r="N251" t="s">
        <v>1829</v>
      </c>
      <c r="O251" t="s">
        <v>36</v>
      </c>
      <c r="P251" t="s">
        <v>149</v>
      </c>
      <c r="Q251" t="s">
        <v>1830</v>
      </c>
      <c r="R251">
        <v>392.94</v>
      </c>
      <c r="S251">
        <v>3</v>
      </c>
      <c r="T251">
        <v>0</v>
      </c>
      <c r="U251">
        <v>43.223399999999998</v>
      </c>
      <c r="V251">
        <v>349.71659999999997</v>
      </c>
      <c r="W251">
        <v>392.94</v>
      </c>
      <c r="X251">
        <v>8.5783746038935529E-3</v>
      </c>
    </row>
    <row r="252" spans="1:24" x14ac:dyDescent="0.3">
      <c r="A252" t="s">
        <v>1831</v>
      </c>
      <c r="B252" t="s">
        <v>1832</v>
      </c>
      <c r="C252" s="1">
        <v>43327</v>
      </c>
      <c r="D252" s="1">
        <v>43333</v>
      </c>
      <c r="E252" t="s">
        <v>54</v>
      </c>
      <c r="F252" t="s">
        <v>1833</v>
      </c>
      <c r="G252" t="s">
        <v>1834</v>
      </c>
      <c r="H252" t="s">
        <v>29</v>
      </c>
      <c r="I252" t="s">
        <v>30</v>
      </c>
      <c r="J252" t="s">
        <v>434</v>
      </c>
      <c r="K252" t="s">
        <v>435</v>
      </c>
      <c r="L252" t="s">
        <v>436</v>
      </c>
      <c r="M252" t="s">
        <v>47</v>
      </c>
      <c r="N252" t="s">
        <v>1835</v>
      </c>
      <c r="O252" t="s">
        <v>49</v>
      </c>
      <c r="P252" t="s">
        <v>89</v>
      </c>
      <c r="Q252" t="s">
        <v>1836</v>
      </c>
      <c r="R252">
        <v>18.882000000000001</v>
      </c>
      <c r="S252">
        <v>3</v>
      </c>
      <c r="T252">
        <v>0.7</v>
      </c>
      <c r="U252">
        <v>-13.8468</v>
      </c>
      <c r="V252">
        <v>32.7288</v>
      </c>
      <c r="W252">
        <v>5.664600000000001</v>
      </c>
      <c r="X252">
        <v>9.1662389088509211E-2</v>
      </c>
    </row>
    <row r="253" spans="1:24" x14ac:dyDescent="0.3">
      <c r="A253" t="s">
        <v>1837</v>
      </c>
      <c r="B253" t="s">
        <v>1838</v>
      </c>
      <c r="C253" s="1">
        <v>43452</v>
      </c>
      <c r="D253" s="1">
        <v>43456</v>
      </c>
      <c r="E253" t="s">
        <v>54</v>
      </c>
      <c r="F253" t="s">
        <v>1839</v>
      </c>
      <c r="G253" t="s">
        <v>1840</v>
      </c>
      <c r="H253" t="s">
        <v>43</v>
      </c>
      <c r="I253" t="s">
        <v>30</v>
      </c>
      <c r="J253" t="s">
        <v>385</v>
      </c>
      <c r="K253" t="s">
        <v>225</v>
      </c>
      <c r="L253" t="s">
        <v>386</v>
      </c>
      <c r="M253" t="s">
        <v>99</v>
      </c>
      <c r="N253" t="s">
        <v>1841</v>
      </c>
      <c r="O253" t="s">
        <v>36</v>
      </c>
      <c r="P253" t="s">
        <v>69</v>
      </c>
      <c r="Q253" t="s">
        <v>1842</v>
      </c>
      <c r="R253">
        <v>18.84</v>
      </c>
      <c r="S253">
        <v>3</v>
      </c>
      <c r="T253">
        <v>0</v>
      </c>
      <c r="U253">
        <v>6.0288000000000004</v>
      </c>
      <c r="V253">
        <v>12.811199999999999</v>
      </c>
      <c r="W253">
        <v>18.84</v>
      </c>
      <c r="X253">
        <v>0.23417010116148371</v>
      </c>
    </row>
    <row r="254" spans="1:24" x14ac:dyDescent="0.3">
      <c r="A254" t="s">
        <v>1843</v>
      </c>
      <c r="B254" t="s">
        <v>1844</v>
      </c>
      <c r="C254" s="1">
        <v>43676</v>
      </c>
      <c r="D254" s="1">
        <v>43680</v>
      </c>
      <c r="E254" t="s">
        <v>26</v>
      </c>
      <c r="F254" t="s">
        <v>1845</v>
      </c>
      <c r="G254" t="s">
        <v>1846</v>
      </c>
      <c r="H254" t="s">
        <v>29</v>
      </c>
      <c r="I254" t="s">
        <v>30</v>
      </c>
      <c r="J254" t="s">
        <v>1847</v>
      </c>
      <c r="K254" t="s">
        <v>45</v>
      </c>
      <c r="L254" t="s">
        <v>1848</v>
      </c>
      <c r="M254" t="s">
        <v>47</v>
      </c>
      <c r="N254" t="s">
        <v>1849</v>
      </c>
      <c r="O254" t="s">
        <v>49</v>
      </c>
      <c r="P254" t="s">
        <v>111</v>
      </c>
      <c r="Q254" t="s">
        <v>1850</v>
      </c>
      <c r="R254">
        <v>330.4</v>
      </c>
      <c r="S254">
        <v>2</v>
      </c>
      <c r="T254">
        <v>0</v>
      </c>
      <c r="U254">
        <v>85.903999999999996</v>
      </c>
      <c r="V254">
        <v>244.49599999999998</v>
      </c>
      <c r="W254">
        <v>330.4</v>
      </c>
      <c r="X254">
        <v>8.1800929258556386E-3</v>
      </c>
    </row>
    <row r="255" spans="1:24" x14ac:dyDescent="0.3">
      <c r="A255" t="s">
        <v>1851</v>
      </c>
      <c r="B255" t="s">
        <v>1852</v>
      </c>
      <c r="C255" s="1">
        <v>43626</v>
      </c>
      <c r="D255" s="1">
        <v>43631</v>
      </c>
      <c r="E255" t="s">
        <v>54</v>
      </c>
      <c r="F255" t="s">
        <v>1853</v>
      </c>
      <c r="G255" t="s">
        <v>1854</v>
      </c>
      <c r="H255" t="s">
        <v>29</v>
      </c>
      <c r="I255" t="s">
        <v>30</v>
      </c>
      <c r="J255" t="s">
        <v>1855</v>
      </c>
      <c r="K255" t="s">
        <v>235</v>
      </c>
      <c r="L255" t="s">
        <v>1856</v>
      </c>
      <c r="M255" t="s">
        <v>99</v>
      </c>
      <c r="N255" t="s">
        <v>1857</v>
      </c>
      <c r="O255" t="s">
        <v>186</v>
      </c>
      <c r="P255" t="s">
        <v>228</v>
      </c>
      <c r="Q255" t="s">
        <v>1858</v>
      </c>
      <c r="R255">
        <v>132.52000000000001</v>
      </c>
      <c r="S255">
        <v>4</v>
      </c>
      <c r="T255">
        <v>0</v>
      </c>
      <c r="U255">
        <v>54.333199999999998</v>
      </c>
      <c r="V255">
        <v>78.186800000000005</v>
      </c>
      <c r="W255">
        <v>132.52000000000001</v>
      </c>
      <c r="X255">
        <v>5.1159530764783821E-2</v>
      </c>
    </row>
    <row r="256" spans="1:24" x14ac:dyDescent="0.3">
      <c r="A256" t="s">
        <v>1859</v>
      </c>
      <c r="B256" t="s">
        <v>1860</v>
      </c>
      <c r="C256" s="1">
        <v>43829</v>
      </c>
      <c r="D256" s="1">
        <v>43835</v>
      </c>
      <c r="E256" t="s">
        <v>54</v>
      </c>
      <c r="F256" t="s">
        <v>1861</v>
      </c>
      <c r="G256" t="s">
        <v>1862</v>
      </c>
      <c r="H256" t="s">
        <v>95</v>
      </c>
      <c r="I256" t="s">
        <v>30</v>
      </c>
      <c r="J256" t="s">
        <v>475</v>
      </c>
      <c r="K256" t="s">
        <v>253</v>
      </c>
      <c r="L256" t="s">
        <v>1380</v>
      </c>
      <c r="M256" t="s">
        <v>99</v>
      </c>
      <c r="N256" t="s">
        <v>1863</v>
      </c>
      <c r="O256" t="s">
        <v>49</v>
      </c>
      <c r="P256" t="s">
        <v>101</v>
      </c>
      <c r="Q256" t="s">
        <v>1864</v>
      </c>
      <c r="R256">
        <v>209.3</v>
      </c>
      <c r="S256">
        <v>2</v>
      </c>
      <c r="T256">
        <v>0</v>
      </c>
      <c r="U256">
        <v>56.511000000000003</v>
      </c>
      <c r="V256">
        <v>152.78900000000002</v>
      </c>
      <c r="W256">
        <v>209.3</v>
      </c>
      <c r="X256">
        <v>1.3089947574759961E-2</v>
      </c>
    </row>
    <row r="257" spans="1:24" x14ac:dyDescent="0.3">
      <c r="A257" t="s">
        <v>1865</v>
      </c>
      <c r="B257" t="s">
        <v>1866</v>
      </c>
      <c r="C257" s="1">
        <v>43445</v>
      </c>
      <c r="D257" s="1">
        <v>43450</v>
      </c>
      <c r="E257" t="s">
        <v>26</v>
      </c>
      <c r="F257" t="s">
        <v>1867</v>
      </c>
      <c r="G257" t="s">
        <v>1868</v>
      </c>
      <c r="H257" t="s">
        <v>43</v>
      </c>
      <c r="I257" t="s">
        <v>30</v>
      </c>
      <c r="J257" t="s">
        <v>1869</v>
      </c>
      <c r="K257" t="s">
        <v>86</v>
      </c>
      <c r="L257" t="s">
        <v>1870</v>
      </c>
      <c r="M257" t="s">
        <v>47</v>
      </c>
      <c r="N257" t="s">
        <v>1871</v>
      </c>
      <c r="O257" t="s">
        <v>36</v>
      </c>
      <c r="P257" t="s">
        <v>69</v>
      </c>
      <c r="Q257" t="s">
        <v>1872</v>
      </c>
      <c r="R257">
        <v>14.8</v>
      </c>
      <c r="S257">
        <v>4</v>
      </c>
      <c r="T257">
        <v>0</v>
      </c>
      <c r="U257">
        <v>6.0679999999999996</v>
      </c>
      <c r="V257">
        <v>8.7320000000000011</v>
      </c>
      <c r="W257">
        <v>14.8</v>
      </c>
      <c r="X257">
        <v>0.45808520384791568</v>
      </c>
    </row>
    <row r="258" spans="1:24" x14ac:dyDescent="0.3">
      <c r="A258" t="s">
        <v>1873</v>
      </c>
      <c r="B258" t="s">
        <v>1874</v>
      </c>
      <c r="C258" s="1">
        <v>43396</v>
      </c>
      <c r="D258" s="1">
        <v>43402</v>
      </c>
      <c r="E258" t="s">
        <v>54</v>
      </c>
      <c r="F258" t="s">
        <v>1875</v>
      </c>
      <c r="G258" t="s">
        <v>1876</v>
      </c>
      <c r="H258" t="s">
        <v>95</v>
      </c>
      <c r="I258" t="s">
        <v>30</v>
      </c>
      <c r="J258" t="s">
        <v>261</v>
      </c>
      <c r="K258" t="s">
        <v>262</v>
      </c>
      <c r="L258" t="s">
        <v>263</v>
      </c>
      <c r="M258" t="s">
        <v>147</v>
      </c>
      <c r="N258" t="s">
        <v>306</v>
      </c>
      <c r="O258" t="s">
        <v>49</v>
      </c>
      <c r="P258" t="s">
        <v>79</v>
      </c>
      <c r="Q258" t="s">
        <v>307</v>
      </c>
      <c r="R258">
        <v>379.4</v>
      </c>
      <c r="S258">
        <v>10</v>
      </c>
      <c r="T258">
        <v>0</v>
      </c>
      <c r="U258">
        <v>178.31800000000001</v>
      </c>
      <c r="V258">
        <v>201.08199999999997</v>
      </c>
      <c r="W258">
        <v>379.4</v>
      </c>
      <c r="X258">
        <v>4.9730955530579574E-2</v>
      </c>
    </row>
    <row r="259" spans="1:24" x14ac:dyDescent="0.3">
      <c r="A259" t="s">
        <v>1877</v>
      </c>
      <c r="B259" t="s">
        <v>1878</v>
      </c>
      <c r="C259" s="1">
        <v>43334</v>
      </c>
      <c r="D259" s="1">
        <v>43340</v>
      </c>
      <c r="E259" t="s">
        <v>54</v>
      </c>
      <c r="F259" t="s">
        <v>1879</v>
      </c>
      <c r="G259" t="s">
        <v>1880</v>
      </c>
      <c r="H259" t="s">
        <v>29</v>
      </c>
      <c r="I259" t="s">
        <v>30</v>
      </c>
      <c r="J259" t="s">
        <v>475</v>
      </c>
      <c r="K259" t="s">
        <v>476</v>
      </c>
      <c r="L259" t="s">
        <v>477</v>
      </c>
      <c r="M259" t="s">
        <v>147</v>
      </c>
      <c r="N259" t="s">
        <v>1881</v>
      </c>
      <c r="O259" t="s">
        <v>49</v>
      </c>
      <c r="P259" t="s">
        <v>101</v>
      </c>
      <c r="Q259" t="s">
        <v>1882</v>
      </c>
      <c r="R259">
        <v>113.55200000000001</v>
      </c>
      <c r="S259">
        <v>2</v>
      </c>
      <c r="T259">
        <v>0.2</v>
      </c>
      <c r="U259">
        <v>8.5164000000000009</v>
      </c>
      <c r="V259">
        <v>105.0356</v>
      </c>
      <c r="W259">
        <v>90.841600000000014</v>
      </c>
      <c r="X259">
        <v>1.904116318657674E-2</v>
      </c>
    </row>
    <row r="260" spans="1:24" x14ac:dyDescent="0.3">
      <c r="A260" t="s">
        <v>1883</v>
      </c>
      <c r="B260" t="s">
        <v>1884</v>
      </c>
      <c r="C260" s="1">
        <v>43362</v>
      </c>
      <c r="D260" s="1">
        <v>43362</v>
      </c>
      <c r="E260" t="s">
        <v>1152</v>
      </c>
      <c r="F260" t="s">
        <v>1885</v>
      </c>
      <c r="G260" t="s">
        <v>1886</v>
      </c>
      <c r="H260" t="s">
        <v>95</v>
      </c>
      <c r="I260" t="s">
        <v>30</v>
      </c>
      <c r="J260" t="s">
        <v>434</v>
      </c>
      <c r="K260" t="s">
        <v>202</v>
      </c>
      <c r="L260" t="s">
        <v>1887</v>
      </c>
      <c r="M260" t="s">
        <v>99</v>
      </c>
      <c r="N260" t="s">
        <v>1888</v>
      </c>
      <c r="O260" t="s">
        <v>36</v>
      </c>
      <c r="P260" t="s">
        <v>149</v>
      </c>
      <c r="Q260" t="s">
        <v>1889</v>
      </c>
      <c r="R260">
        <v>701.37199999999996</v>
      </c>
      <c r="S260">
        <v>2</v>
      </c>
      <c r="T260">
        <v>0.3</v>
      </c>
      <c r="U260">
        <v>-50.097999999999999</v>
      </c>
      <c r="V260">
        <v>751.46999999999991</v>
      </c>
      <c r="W260">
        <v>490.96039999999994</v>
      </c>
      <c r="X260">
        <v>2.6614502242271816E-3</v>
      </c>
    </row>
    <row r="261" spans="1:24" x14ac:dyDescent="0.3">
      <c r="A261" t="s">
        <v>1890</v>
      </c>
      <c r="B261" t="s">
        <v>1891</v>
      </c>
      <c r="C261" s="1">
        <v>43185</v>
      </c>
      <c r="D261" s="1">
        <v>43189</v>
      </c>
      <c r="E261" t="s">
        <v>54</v>
      </c>
      <c r="F261" t="s">
        <v>1892</v>
      </c>
      <c r="G261" t="s">
        <v>1893</v>
      </c>
      <c r="H261" t="s">
        <v>43</v>
      </c>
      <c r="I261" t="s">
        <v>30</v>
      </c>
      <c r="J261" t="s">
        <v>261</v>
      </c>
      <c r="K261" t="s">
        <v>262</v>
      </c>
      <c r="L261" t="s">
        <v>1788</v>
      </c>
      <c r="M261" t="s">
        <v>147</v>
      </c>
      <c r="N261" t="s">
        <v>1894</v>
      </c>
      <c r="O261" t="s">
        <v>49</v>
      </c>
      <c r="P261" t="s">
        <v>111</v>
      </c>
      <c r="Q261" t="s">
        <v>1895</v>
      </c>
      <c r="R261">
        <v>459.95</v>
      </c>
      <c r="S261">
        <v>5</v>
      </c>
      <c r="T261">
        <v>0</v>
      </c>
      <c r="U261">
        <v>18.398</v>
      </c>
      <c r="V261">
        <v>441.55199999999996</v>
      </c>
      <c r="W261">
        <v>459.95</v>
      </c>
      <c r="X261">
        <v>1.1323694604485996E-2</v>
      </c>
    </row>
    <row r="262" spans="1:24" x14ac:dyDescent="0.3">
      <c r="A262" t="s">
        <v>1896</v>
      </c>
      <c r="B262" t="s">
        <v>1897</v>
      </c>
      <c r="C262" s="1">
        <v>43624</v>
      </c>
      <c r="D262" s="1">
        <v>43626</v>
      </c>
      <c r="E262" t="s">
        <v>26</v>
      </c>
      <c r="F262" t="s">
        <v>1898</v>
      </c>
      <c r="G262" t="s">
        <v>1899</v>
      </c>
      <c r="H262" t="s">
        <v>43</v>
      </c>
      <c r="I262" t="s">
        <v>30</v>
      </c>
      <c r="J262" t="s">
        <v>782</v>
      </c>
      <c r="K262" t="s">
        <v>97</v>
      </c>
      <c r="L262" t="s">
        <v>1900</v>
      </c>
      <c r="M262" t="s">
        <v>99</v>
      </c>
      <c r="N262" t="s">
        <v>1901</v>
      </c>
      <c r="O262" t="s">
        <v>49</v>
      </c>
      <c r="P262" t="s">
        <v>1705</v>
      </c>
      <c r="Q262" t="s">
        <v>1902</v>
      </c>
      <c r="R262">
        <v>23.76</v>
      </c>
      <c r="S262">
        <v>3</v>
      </c>
      <c r="T262">
        <v>0.2</v>
      </c>
      <c r="U262">
        <v>2.0790000000000002</v>
      </c>
      <c r="V262">
        <v>21.681000000000001</v>
      </c>
      <c r="W262">
        <v>19.008000000000003</v>
      </c>
      <c r="X262">
        <v>0.13837000138370001</v>
      </c>
    </row>
    <row r="263" spans="1:24" x14ac:dyDescent="0.3">
      <c r="A263" t="s">
        <v>1903</v>
      </c>
      <c r="B263" t="s">
        <v>1904</v>
      </c>
      <c r="C263" s="1">
        <v>42728</v>
      </c>
      <c r="D263" s="1">
        <v>42730</v>
      </c>
      <c r="E263" t="s">
        <v>180</v>
      </c>
      <c r="F263" t="s">
        <v>1905</v>
      </c>
      <c r="G263" t="s">
        <v>1906</v>
      </c>
      <c r="H263" t="s">
        <v>29</v>
      </c>
      <c r="I263" t="s">
        <v>30</v>
      </c>
      <c r="J263" t="s">
        <v>1907</v>
      </c>
      <c r="K263" t="s">
        <v>476</v>
      </c>
      <c r="L263" t="s">
        <v>1908</v>
      </c>
      <c r="M263" t="s">
        <v>147</v>
      </c>
      <c r="N263" t="s">
        <v>1909</v>
      </c>
      <c r="O263" t="s">
        <v>36</v>
      </c>
      <c r="P263" t="s">
        <v>69</v>
      </c>
      <c r="Q263" t="s">
        <v>1910</v>
      </c>
      <c r="R263">
        <v>30.36</v>
      </c>
      <c r="S263">
        <v>5</v>
      </c>
      <c r="T263">
        <v>0.2</v>
      </c>
      <c r="U263">
        <v>8.7285000000000004</v>
      </c>
      <c r="V263">
        <v>21.631499999999999</v>
      </c>
      <c r="W263">
        <v>24.288</v>
      </c>
      <c r="X263">
        <v>0.23114439590412131</v>
      </c>
    </row>
    <row r="264" spans="1:24" x14ac:dyDescent="0.3">
      <c r="A264" t="s">
        <v>1911</v>
      </c>
      <c r="B264" t="s">
        <v>1912</v>
      </c>
      <c r="C264" s="1">
        <v>43804</v>
      </c>
      <c r="D264" s="1">
        <v>43807</v>
      </c>
      <c r="E264" t="s">
        <v>180</v>
      </c>
      <c r="F264" t="s">
        <v>1913</v>
      </c>
      <c r="G264" t="s">
        <v>1914</v>
      </c>
      <c r="H264" t="s">
        <v>29</v>
      </c>
      <c r="I264" t="s">
        <v>30</v>
      </c>
      <c r="J264" t="s">
        <v>475</v>
      </c>
      <c r="K264" t="s">
        <v>253</v>
      </c>
      <c r="L264" t="s">
        <v>1380</v>
      </c>
      <c r="M264" t="s">
        <v>99</v>
      </c>
      <c r="N264" t="s">
        <v>1915</v>
      </c>
      <c r="O264" t="s">
        <v>49</v>
      </c>
      <c r="P264" t="s">
        <v>101</v>
      </c>
      <c r="Q264" t="s">
        <v>1916</v>
      </c>
      <c r="R264">
        <v>61.44</v>
      </c>
      <c r="S264">
        <v>3</v>
      </c>
      <c r="T264">
        <v>0</v>
      </c>
      <c r="U264">
        <v>16.588799999999999</v>
      </c>
      <c r="V264">
        <v>44.851199999999999</v>
      </c>
      <c r="W264">
        <v>61.44</v>
      </c>
      <c r="X264">
        <v>6.6887842465753425E-2</v>
      </c>
    </row>
    <row r="265" spans="1:24" x14ac:dyDescent="0.3">
      <c r="A265" t="s">
        <v>1917</v>
      </c>
      <c r="B265" t="s">
        <v>1918</v>
      </c>
      <c r="C265" s="1">
        <v>43542</v>
      </c>
      <c r="D265" s="1">
        <v>43547</v>
      </c>
      <c r="E265" t="s">
        <v>54</v>
      </c>
      <c r="F265" t="s">
        <v>1919</v>
      </c>
      <c r="G265" t="s">
        <v>1920</v>
      </c>
      <c r="H265" t="s">
        <v>29</v>
      </c>
      <c r="I265" t="s">
        <v>30</v>
      </c>
      <c r="J265" t="s">
        <v>1921</v>
      </c>
      <c r="K265" t="s">
        <v>97</v>
      </c>
      <c r="L265" t="s">
        <v>1922</v>
      </c>
      <c r="M265" t="s">
        <v>99</v>
      </c>
      <c r="N265" t="s">
        <v>1923</v>
      </c>
      <c r="O265" t="s">
        <v>49</v>
      </c>
      <c r="P265" t="s">
        <v>101</v>
      </c>
      <c r="Q265" t="s">
        <v>1924</v>
      </c>
      <c r="R265">
        <v>2.6880000000000002</v>
      </c>
      <c r="S265">
        <v>3</v>
      </c>
      <c r="T265">
        <v>0.8</v>
      </c>
      <c r="U265">
        <v>-7.3920000000000003</v>
      </c>
      <c r="V265">
        <v>10.08</v>
      </c>
      <c r="W265">
        <v>0.53759999999999997</v>
      </c>
      <c r="X265">
        <v>0.29761904761904762</v>
      </c>
    </row>
    <row r="266" spans="1:24" x14ac:dyDescent="0.3">
      <c r="A266" t="s">
        <v>1925</v>
      </c>
      <c r="B266" t="s">
        <v>1926</v>
      </c>
      <c r="C266" s="1">
        <v>43423</v>
      </c>
      <c r="D266" s="1">
        <v>43428</v>
      </c>
      <c r="E266" t="s">
        <v>54</v>
      </c>
      <c r="F266" t="s">
        <v>1927</v>
      </c>
      <c r="G266" t="s">
        <v>1928</v>
      </c>
      <c r="H266" t="s">
        <v>29</v>
      </c>
      <c r="I266" t="s">
        <v>30</v>
      </c>
      <c r="J266" t="s">
        <v>261</v>
      </c>
      <c r="K266" t="s">
        <v>262</v>
      </c>
      <c r="L266" t="s">
        <v>263</v>
      </c>
      <c r="M266" t="s">
        <v>147</v>
      </c>
      <c r="N266" t="s">
        <v>1929</v>
      </c>
      <c r="O266" t="s">
        <v>49</v>
      </c>
      <c r="P266" t="s">
        <v>89</v>
      </c>
      <c r="Q266" t="s">
        <v>1930</v>
      </c>
      <c r="R266">
        <v>14.352</v>
      </c>
      <c r="S266">
        <v>3</v>
      </c>
      <c r="T266">
        <v>0.2</v>
      </c>
      <c r="U266">
        <v>4.6643999999999997</v>
      </c>
      <c r="V266">
        <v>9.6875999999999998</v>
      </c>
      <c r="W266">
        <v>11.4816</v>
      </c>
      <c r="X266">
        <v>0.30967422271770101</v>
      </c>
    </row>
    <row r="267" spans="1:24" x14ac:dyDescent="0.3">
      <c r="A267" t="s">
        <v>1931</v>
      </c>
      <c r="B267" t="s">
        <v>1932</v>
      </c>
      <c r="C267" s="1">
        <v>43773</v>
      </c>
      <c r="D267" s="1">
        <v>43773</v>
      </c>
      <c r="E267" t="s">
        <v>1152</v>
      </c>
      <c r="F267" t="s">
        <v>1933</v>
      </c>
      <c r="G267" t="s">
        <v>1934</v>
      </c>
      <c r="H267" t="s">
        <v>43</v>
      </c>
      <c r="I267" t="s">
        <v>30</v>
      </c>
      <c r="J267" t="s">
        <v>1935</v>
      </c>
      <c r="K267" t="s">
        <v>76</v>
      </c>
      <c r="L267" t="s">
        <v>1936</v>
      </c>
      <c r="M267" t="s">
        <v>34</v>
      </c>
      <c r="N267" t="s">
        <v>1937</v>
      </c>
      <c r="O267" t="s">
        <v>186</v>
      </c>
      <c r="P267" t="s">
        <v>921</v>
      </c>
      <c r="Q267" t="s">
        <v>1938</v>
      </c>
      <c r="R267">
        <v>7999.98</v>
      </c>
      <c r="S267">
        <v>4</v>
      </c>
      <c r="T267">
        <v>0.5</v>
      </c>
      <c r="U267">
        <v>-3839.9904000000001</v>
      </c>
      <c r="V267">
        <v>11839.9704</v>
      </c>
      <c r="W267">
        <v>3999.99</v>
      </c>
      <c r="X267">
        <v>3.3783868243454391E-4</v>
      </c>
    </row>
    <row r="268" spans="1:24" x14ac:dyDescent="0.3">
      <c r="A268" t="s">
        <v>1939</v>
      </c>
      <c r="B268" t="s">
        <v>1940</v>
      </c>
      <c r="C268" s="1">
        <v>42556</v>
      </c>
      <c r="D268" s="1">
        <v>42559</v>
      </c>
      <c r="E268" t="s">
        <v>180</v>
      </c>
      <c r="F268" t="s">
        <v>1941</v>
      </c>
      <c r="G268" t="s">
        <v>1942</v>
      </c>
      <c r="H268" t="s">
        <v>29</v>
      </c>
      <c r="I268" t="s">
        <v>30</v>
      </c>
      <c r="J268" t="s">
        <v>1328</v>
      </c>
      <c r="K268" t="s">
        <v>1329</v>
      </c>
      <c r="L268" t="s">
        <v>1330</v>
      </c>
      <c r="M268" t="s">
        <v>34</v>
      </c>
      <c r="N268" t="s">
        <v>1943</v>
      </c>
      <c r="O268" t="s">
        <v>186</v>
      </c>
      <c r="P268" t="s">
        <v>228</v>
      </c>
      <c r="Q268" t="s">
        <v>1944</v>
      </c>
      <c r="R268">
        <v>479.97</v>
      </c>
      <c r="S268">
        <v>3</v>
      </c>
      <c r="T268">
        <v>0</v>
      </c>
      <c r="U268">
        <v>163.18979999999999</v>
      </c>
      <c r="V268">
        <v>316.78020000000004</v>
      </c>
      <c r="W268">
        <v>479.97</v>
      </c>
      <c r="X268">
        <v>9.4702888627508901E-3</v>
      </c>
    </row>
    <row r="269" spans="1:24" x14ac:dyDescent="0.3">
      <c r="A269" t="s">
        <v>1945</v>
      </c>
      <c r="B269" t="s">
        <v>1946</v>
      </c>
      <c r="C269" s="1">
        <v>43824</v>
      </c>
      <c r="D269" s="1">
        <v>43828</v>
      </c>
      <c r="E269" t="s">
        <v>54</v>
      </c>
      <c r="F269" t="s">
        <v>1947</v>
      </c>
      <c r="G269" t="s">
        <v>1948</v>
      </c>
      <c r="H269" t="s">
        <v>29</v>
      </c>
      <c r="I269" t="s">
        <v>30</v>
      </c>
      <c r="J269" t="s">
        <v>261</v>
      </c>
      <c r="K269" t="s">
        <v>262</v>
      </c>
      <c r="L269" t="s">
        <v>459</v>
      </c>
      <c r="M269" t="s">
        <v>147</v>
      </c>
      <c r="N269" t="s">
        <v>1949</v>
      </c>
      <c r="O269" t="s">
        <v>36</v>
      </c>
      <c r="P269" t="s">
        <v>37</v>
      </c>
      <c r="Q269" t="s">
        <v>1950</v>
      </c>
      <c r="R269">
        <v>191.98400000000001</v>
      </c>
      <c r="S269">
        <v>2</v>
      </c>
      <c r="T269">
        <v>0.2</v>
      </c>
      <c r="U269">
        <v>4.7995999999999999</v>
      </c>
      <c r="V269">
        <v>187.18440000000001</v>
      </c>
      <c r="W269">
        <v>153.58720000000002</v>
      </c>
      <c r="X269">
        <v>1.0684651071349962E-2</v>
      </c>
    </row>
    <row r="270" spans="1:24" x14ac:dyDescent="0.3">
      <c r="A270" t="s">
        <v>1951</v>
      </c>
      <c r="B270" t="s">
        <v>1952</v>
      </c>
      <c r="C270" s="1">
        <v>42542</v>
      </c>
      <c r="D270" s="1">
        <v>42544</v>
      </c>
      <c r="E270" t="s">
        <v>26</v>
      </c>
      <c r="F270" t="s">
        <v>1953</v>
      </c>
      <c r="G270" t="s">
        <v>1954</v>
      </c>
      <c r="H270" t="s">
        <v>29</v>
      </c>
      <c r="I270" t="s">
        <v>30</v>
      </c>
      <c r="J270" t="s">
        <v>1955</v>
      </c>
      <c r="K270" t="s">
        <v>304</v>
      </c>
      <c r="L270" t="s">
        <v>1956</v>
      </c>
      <c r="M270" t="s">
        <v>34</v>
      </c>
      <c r="N270" t="s">
        <v>1957</v>
      </c>
      <c r="O270" t="s">
        <v>36</v>
      </c>
      <c r="P270" t="s">
        <v>69</v>
      </c>
      <c r="Q270" t="s">
        <v>1958</v>
      </c>
      <c r="R270">
        <v>104.01</v>
      </c>
      <c r="S270">
        <v>1</v>
      </c>
      <c r="T270">
        <v>0</v>
      </c>
      <c r="U270">
        <v>14.561400000000001</v>
      </c>
      <c r="V270">
        <v>89.448599999999999</v>
      </c>
      <c r="W270">
        <v>104.01</v>
      </c>
      <c r="X270">
        <v>1.1179604823328705E-2</v>
      </c>
    </row>
    <row r="271" spans="1:24" x14ac:dyDescent="0.3">
      <c r="A271" t="s">
        <v>1959</v>
      </c>
      <c r="B271" t="s">
        <v>1960</v>
      </c>
      <c r="C271" s="1">
        <v>42822</v>
      </c>
      <c r="D271" s="1">
        <v>42827</v>
      </c>
      <c r="E271" t="s">
        <v>54</v>
      </c>
      <c r="F271" t="s">
        <v>1961</v>
      </c>
      <c r="G271" t="s">
        <v>1962</v>
      </c>
      <c r="H271" t="s">
        <v>29</v>
      </c>
      <c r="I271" t="s">
        <v>30</v>
      </c>
      <c r="J271" t="s">
        <v>44</v>
      </c>
      <c r="K271" t="s">
        <v>45</v>
      </c>
      <c r="L271" t="s">
        <v>46</v>
      </c>
      <c r="M271" t="s">
        <v>47</v>
      </c>
      <c r="N271" t="s">
        <v>1963</v>
      </c>
      <c r="O271" t="s">
        <v>186</v>
      </c>
      <c r="P271" t="s">
        <v>228</v>
      </c>
      <c r="Q271" t="s">
        <v>1964</v>
      </c>
      <c r="R271">
        <v>166.24</v>
      </c>
      <c r="S271">
        <v>1</v>
      </c>
      <c r="T271">
        <v>0</v>
      </c>
      <c r="U271">
        <v>24.936</v>
      </c>
      <c r="V271">
        <v>141.304</v>
      </c>
      <c r="W271">
        <v>166.24</v>
      </c>
      <c r="X271">
        <v>7.0769404970843003E-3</v>
      </c>
    </row>
    <row r="272" spans="1:24" x14ac:dyDescent="0.3">
      <c r="A272" t="s">
        <v>1965</v>
      </c>
      <c r="B272" t="s">
        <v>1966</v>
      </c>
      <c r="C272" s="1">
        <v>42869</v>
      </c>
      <c r="D272" s="1">
        <v>42872</v>
      </c>
      <c r="E272" t="s">
        <v>180</v>
      </c>
      <c r="F272" t="s">
        <v>1967</v>
      </c>
      <c r="G272" t="s">
        <v>1968</v>
      </c>
      <c r="H272" t="s">
        <v>95</v>
      </c>
      <c r="I272" t="s">
        <v>30</v>
      </c>
      <c r="J272" t="s">
        <v>1969</v>
      </c>
      <c r="K272" t="s">
        <v>145</v>
      </c>
      <c r="L272" t="s">
        <v>1970</v>
      </c>
      <c r="M272" t="s">
        <v>147</v>
      </c>
      <c r="N272" t="s">
        <v>1053</v>
      </c>
      <c r="O272" t="s">
        <v>49</v>
      </c>
      <c r="P272" t="s">
        <v>129</v>
      </c>
      <c r="Q272" t="s">
        <v>1054</v>
      </c>
      <c r="R272">
        <v>198.27199999999999</v>
      </c>
      <c r="S272">
        <v>8</v>
      </c>
      <c r="T272">
        <v>0.2</v>
      </c>
      <c r="U272">
        <v>17.348800000000001</v>
      </c>
      <c r="V272">
        <v>180.92319999999998</v>
      </c>
      <c r="W272">
        <v>158.61760000000001</v>
      </c>
      <c r="X272">
        <v>4.4217656994791167E-2</v>
      </c>
    </row>
    <row r="273" spans="1:24" x14ac:dyDescent="0.3">
      <c r="A273" t="s">
        <v>1971</v>
      </c>
      <c r="B273" t="s">
        <v>1972</v>
      </c>
      <c r="C273" s="1">
        <v>42834</v>
      </c>
      <c r="D273" s="1">
        <v>42839</v>
      </c>
      <c r="E273" t="s">
        <v>54</v>
      </c>
      <c r="F273" t="s">
        <v>1973</v>
      </c>
      <c r="G273" t="s">
        <v>1974</v>
      </c>
      <c r="H273" t="s">
        <v>29</v>
      </c>
      <c r="I273" t="s">
        <v>30</v>
      </c>
      <c r="J273" t="s">
        <v>1065</v>
      </c>
      <c r="K273" t="s">
        <v>45</v>
      </c>
      <c r="L273" t="s">
        <v>1066</v>
      </c>
      <c r="M273" t="s">
        <v>47</v>
      </c>
      <c r="N273" t="s">
        <v>1975</v>
      </c>
      <c r="O273" t="s">
        <v>36</v>
      </c>
      <c r="P273" t="s">
        <v>61</v>
      </c>
      <c r="Q273" t="s">
        <v>1976</v>
      </c>
      <c r="R273">
        <v>369.91199999999998</v>
      </c>
      <c r="S273">
        <v>3</v>
      </c>
      <c r="T273">
        <v>0.2</v>
      </c>
      <c r="U273">
        <v>-13.871700000000001</v>
      </c>
      <c r="V273">
        <v>383.78369999999995</v>
      </c>
      <c r="W273">
        <v>295.92959999999999</v>
      </c>
      <c r="X273">
        <v>7.8169031149577239E-3</v>
      </c>
    </row>
    <row r="274" spans="1:24" x14ac:dyDescent="0.3">
      <c r="A274" t="s">
        <v>1977</v>
      </c>
      <c r="B274" t="s">
        <v>1978</v>
      </c>
      <c r="C274" s="1">
        <v>42625</v>
      </c>
      <c r="D274" s="1">
        <v>42630</v>
      </c>
      <c r="E274" t="s">
        <v>54</v>
      </c>
      <c r="F274" t="s">
        <v>1979</v>
      </c>
      <c r="G274" t="s">
        <v>1980</v>
      </c>
      <c r="H274" t="s">
        <v>43</v>
      </c>
      <c r="I274" t="s">
        <v>30</v>
      </c>
      <c r="J274" t="s">
        <v>1981</v>
      </c>
      <c r="K274" t="s">
        <v>76</v>
      </c>
      <c r="L274" t="s">
        <v>1982</v>
      </c>
      <c r="M274" t="s">
        <v>34</v>
      </c>
      <c r="N274" t="s">
        <v>1983</v>
      </c>
      <c r="O274" t="s">
        <v>49</v>
      </c>
      <c r="P274" t="s">
        <v>79</v>
      </c>
      <c r="Q274" t="s">
        <v>1984</v>
      </c>
      <c r="R274">
        <v>10.368</v>
      </c>
      <c r="S274">
        <v>2</v>
      </c>
      <c r="T274">
        <v>0.2</v>
      </c>
      <c r="U274">
        <v>3.6288</v>
      </c>
      <c r="V274">
        <v>6.7392000000000003</v>
      </c>
      <c r="W274">
        <v>8.2944000000000013</v>
      </c>
      <c r="X274">
        <v>0.29677113010446343</v>
      </c>
    </row>
    <row r="275" spans="1:24" x14ac:dyDescent="0.3">
      <c r="A275" t="s">
        <v>1985</v>
      </c>
      <c r="B275" t="s">
        <v>1986</v>
      </c>
      <c r="C275" s="1">
        <v>42706</v>
      </c>
      <c r="D275" s="1">
        <v>42708</v>
      </c>
      <c r="E275" t="s">
        <v>180</v>
      </c>
      <c r="F275" t="s">
        <v>1987</v>
      </c>
      <c r="G275" t="s">
        <v>1988</v>
      </c>
      <c r="H275" t="s">
        <v>29</v>
      </c>
      <c r="I275" t="s">
        <v>30</v>
      </c>
      <c r="J275" t="s">
        <v>261</v>
      </c>
      <c r="K275" t="s">
        <v>262</v>
      </c>
      <c r="L275" t="s">
        <v>459</v>
      </c>
      <c r="M275" t="s">
        <v>147</v>
      </c>
      <c r="N275" t="s">
        <v>1989</v>
      </c>
      <c r="O275" t="s">
        <v>186</v>
      </c>
      <c r="P275" t="s">
        <v>228</v>
      </c>
      <c r="Q275" t="s">
        <v>1990</v>
      </c>
      <c r="R275">
        <v>119.96</v>
      </c>
      <c r="S275">
        <v>4</v>
      </c>
      <c r="T275">
        <v>0</v>
      </c>
      <c r="U275">
        <v>52.782400000000003</v>
      </c>
      <c r="V275">
        <v>67.177599999999984</v>
      </c>
      <c r="W275">
        <v>119.96</v>
      </c>
      <c r="X275">
        <v>5.9543657409612739E-2</v>
      </c>
    </row>
    <row r="276" spans="1:24" x14ac:dyDescent="0.3">
      <c r="A276" t="s">
        <v>1991</v>
      </c>
      <c r="B276" t="s">
        <v>1992</v>
      </c>
      <c r="C276" s="1">
        <v>42465</v>
      </c>
      <c r="D276" s="1">
        <v>42467</v>
      </c>
      <c r="E276" t="s">
        <v>180</v>
      </c>
      <c r="F276" t="s">
        <v>1993</v>
      </c>
      <c r="G276" t="s">
        <v>1994</v>
      </c>
      <c r="H276" t="s">
        <v>95</v>
      </c>
      <c r="I276" t="s">
        <v>30</v>
      </c>
      <c r="J276" t="s">
        <v>261</v>
      </c>
      <c r="K276" t="s">
        <v>262</v>
      </c>
      <c r="L276" t="s">
        <v>459</v>
      </c>
      <c r="M276" t="s">
        <v>147</v>
      </c>
      <c r="N276" t="s">
        <v>1424</v>
      </c>
      <c r="O276" t="s">
        <v>49</v>
      </c>
      <c r="P276" t="s">
        <v>79</v>
      </c>
      <c r="Q276" t="s">
        <v>1425</v>
      </c>
      <c r="R276">
        <v>55.48</v>
      </c>
      <c r="S276">
        <v>1</v>
      </c>
      <c r="T276">
        <v>0</v>
      </c>
      <c r="U276">
        <v>26.630400000000002</v>
      </c>
      <c r="V276">
        <v>28.849599999999995</v>
      </c>
      <c r="W276">
        <v>55.48</v>
      </c>
      <c r="X276">
        <v>3.4662525650268984E-2</v>
      </c>
    </row>
    <row r="277" spans="1:24" x14ac:dyDescent="0.3">
      <c r="A277" t="s">
        <v>1995</v>
      </c>
      <c r="B277" t="s">
        <v>1996</v>
      </c>
      <c r="C277" s="1">
        <v>43711</v>
      </c>
      <c r="D277" s="1">
        <v>43715</v>
      </c>
      <c r="E277" t="s">
        <v>54</v>
      </c>
      <c r="F277" t="s">
        <v>1997</v>
      </c>
      <c r="G277" t="s">
        <v>1998</v>
      </c>
      <c r="H277" t="s">
        <v>29</v>
      </c>
      <c r="I277" t="s">
        <v>30</v>
      </c>
      <c r="J277" t="s">
        <v>1999</v>
      </c>
      <c r="K277" t="s">
        <v>58</v>
      </c>
      <c r="L277" t="s">
        <v>2000</v>
      </c>
      <c r="M277" t="s">
        <v>34</v>
      </c>
      <c r="N277" t="s">
        <v>2001</v>
      </c>
      <c r="O277" t="s">
        <v>49</v>
      </c>
      <c r="P277" t="s">
        <v>195</v>
      </c>
      <c r="Q277" t="s">
        <v>2002</v>
      </c>
      <c r="R277">
        <v>24.448</v>
      </c>
      <c r="S277">
        <v>4</v>
      </c>
      <c r="T277">
        <v>0.2</v>
      </c>
      <c r="U277">
        <v>8.8623999999999992</v>
      </c>
      <c r="V277">
        <v>15.585600000000001</v>
      </c>
      <c r="W277">
        <v>19.558400000000002</v>
      </c>
      <c r="X277">
        <v>0.25664716148239397</v>
      </c>
    </row>
    <row r="278" spans="1:24" x14ac:dyDescent="0.3">
      <c r="A278" t="s">
        <v>2003</v>
      </c>
      <c r="B278" t="s">
        <v>2004</v>
      </c>
      <c r="C278" s="1">
        <v>43604</v>
      </c>
      <c r="D278" s="1">
        <v>43609</v>
      </c>
      <c r="E278" t="s">
        <v>54</v>
      </c>
      <c r="F278" t="s">
        <v>2005</v>
      </c>
      <c r="G278" t="s">
        <v>2006</v>
      </c>
      <c r="H278" t="s">
        <v>43</v>
      </c>
      <c r="I278" t="s">
        <v>30</v>
      </c>
      <c r="J278" t="s">
        <v>2007</v>
      </c>
      <c r="K278" t="s">
        <v>262</v>
      </c>
      <c r="L278" t="s">
        <v>2008</v>
      </c>
      <c r="M278" t="s">
        <v>147</v>
      </c>
      <c r="N278" t="s">
        <v>2009</v>
      </c>
      <c r="O278" t="s">
        <v>49</v>
      </c>
      <c r="P278" t="s">
        <v>101</v>
      </c>
      <c r="Q278" t="s">
        <v>2010</v>
      </c>
      <c r="R278">
        <v>281.33999999999997</v>
      </c>
      <c r="S278">
        <v>6</v>
      </c>
      <c r="T278">
        <v>0</v>
      </c>
      <c r="U278">
        <v>109.7226</v>
      </c>
      <c r="V278">
        <v>171.61739999999998</v>
      </c>
      <c r="W278">
        <v>281.33999999999997</v>
      </c>
      <c r="X278">
        <v>3.4961489918854387E-2</v>
      </c>
    </row>
    <row r="279" spans="1:24" x14ac:dyDescent="0.3">
      <c r="A279" t="s">
        <v>2011</v>
      </c>
      <c r="B279" t="s">
        <v>2012</v>
      </c>
      <c r="C279" s="1">
        <v>42380</v>
      </c>
      <c r="D279" s="1">
        <v>42383</v>
      </c>
      <c r="E279" t="s">
        <v>180</v>
      </c>
      <c r="F279" t="s">
        <v>2013</v>
      </c>
      <c r="G279" t="s">
        <v>2014</v>
      </c>
      <c r="H279" t="s">
        <v>29</v>
      </c>
      <c r="I279" t="s">
        <v>30</v>
      </c>
      <c r="J279" t="s">
        <v>243</v>
      </c>
      <c r="K279" t="s">
        <v>244</v>
      </c>
      <c r="L279" t="s">
        <v>245</v>
      </c>
      <c r="M279" t="s">
        <v>147</v>
      </c>
      <c r="N279" t="s">
        <v>2015</v>
      </c>
      <c r="O279" t="s">
        <v>36</v>
      </c>
      <c r="P279" t="s">
        <v>69</v>
      </c>
      <c r="Q279" t="s">
        <v>2016</v>
      </c>
      <c r="R279">
        <v>9.94</v>
      </c>
      <c r="S279">
        <v>2</v>
      </c>
      <c r="T279">
        <v>0</v>
      </c>
      <c r="U279">
        <v>3.0813999999999999</v>
      </c>
      <c r="V279">
        <v>6.8585999999999991</v>
      </c>
      <c r="W279">
        <v>9.94</v>
      </c>
      <c r="X279">
        <v>0.29160470066777477</v>
      </c>
    </row>
    <row r="280" spans="1:24" x14ac:dyDescent="0.3">
      <c r="A280" t="s">
        <v>2017</v>
      </c>
      <c r="B280" t="s">
        <v>2018</v>
      </c>
      <c r="C280" s="1">
        <v>42523</v>
      </c>
      <c r="D280" s="1">
        <v>42528</v>
      </c>
      <c r="E280" t="s">
        <v>54</v>
      </c>
      <c r="F280" t="s">
        <v>2019</v>
      </c>
      <c r="G280" t="s">
        <v>2020</v>
      </c>
      <c r="H280" t="s">
        <v>95</v>
      </c>
      <c r="I280" t="s">
        <v>30</v>
      </c>
      <c r="J280" t="s">
        <v>155</v>
      </c>
      <c r="K280" t="s">
        <v>118</v>
      </c>
      <c r="L280" t="s">
        <v>156</v>
      </c>
      <c r="M280" t="s">
        <v>47</v>
      </c>
      <c r="N280" t="s">
        <v>2021</v>
      </c>
      <c r="O280" t="s">
        <v>49</v>
      </c>
      <c r="P280" t="s">
        <v>89</v>
      </c>
      <c r="Q280" t="s">
        <v>2022</v>
      </c>
      <c r="R280">
        <v>59.808</v>
      </c>
      <c r="S280">
        <v>3</v>
      </c>
      <c r="T280">
        <v>0.2</v>
      </c>
      <c r="U280">
        <v>19.4376</v>
      </c>
      <c r="V280">
        <v>40.370400000000004</v>
      </c>
      <c r="W280">
        <v>47.846400000000003</v>
      </c>
      <c r="X280">
        <v>7.4311872064681053E-2</v>
      </c>
    </row>
    <row r="281" spans="1:24" x14ac:dyDescent="0.3">
      <c r="A281" t="s">
        <v>2023</v>
      </c>
      <c r="B281" t="s">
        <v>2024</v>
      </c>
      <c r="C281" s="1">
        <v>43144</v>
      </c>
      <c r="D281" s="1">
        <v>43149</v>
      </c>
      <c r="E281" t="s">
        <v>54</v>
      </c>
      <c r="F281" t="s">
        <v>2025</v>
      </c>
      <c r="G281" t="s">
        <v>2026</v>
      </c>
      <c r="H281" t="s">
        <v>95</v>
      </c>
      <c r="I281" t="s">
        <v>30</v>
      </c>
      <c r="J281" t="s">
        <v>44</v>
      </c>
      <c r="K281" t="s">
        <v>45</v>
      </c>
      <c r="L281" t="s">
        <v>627</v>
      </c>
      <c r="M281" t="s">
        <v>47</v>
      </c>
      <c r="N281" t="s">
        <v>2027</v>
      </c>
      <c r="O281" t="s">
        <v>49</v>
      </c>
      <c r="P281" t="s">
        <v>79</v>
      </c>
      <c r="Q281" t="s">
        <v>2028</v>
      </c>
      <c r="R281">
        <v>146.82</v>
      </c>
      <c r="S281">
        <v>3</v>
      </c>
      <c r="T281">
        <v>0</v>
      </c>
      <c r="U281">
        <v>73.41</v>
      </c>
      <c r="V281">
        <v>73.41</v>
      </c>
      <c r="W281">
        <v>146.82</v>
      </c>
      <c r="X281">
        <v>4.0866366979975484E-2</v>
      </c>
    </row>
    <row r="282" spans="1:24" x14ac:dyDescent="0.3">
      <c r="A282" t="s">
        <v>2029</v>
      </c>
      <c r="B282" t="s">
        <v>2030</v>
      </c>
      <c r="C282" s="1">
        <v>42650</v>
      </c>
      <c r="D282" s="1">
        <v>42656</v>
      </c>
      <c r="E282" t="s">
        <v>54</v>
      </c>
      <c r="F282" t="s">
        <v>2031</v>
      </c>
      <c r="G282" t="s">
        <v>2032</v>
      </c>
      <c r="H282" t="s">
        <v>95</v>
      </c>
      <c r="I282" t="s">
        <v>30</v>
      </c>
      <c r="J282" t="s">
        <v>144</v>
      </c>
      <c r="K282" t="s">
        <v>145</v>
      </c>
      <c r="L282" t="s">
        <v>146</v>
      </c>
      <c r="M282" t="s">
        <v>147</v>
      </c>
      <c r="N282" t="s">
        <v>2033</v>
      </c>
      <c r="O282" t="s">
        <v>36</v>
      </c>
      <c r="P282" t="s">
        <v>69</v>
      </c>
      <c r="Q282" t="s">
        <v>2034</v>
      </c>
      <c r="R282">
        <v>129.91999999999999</v>
      </c>
      <c r="S282">
        <v>5</v>
      </c>
      <c r="T282">
        <v>0.2</v>
      </c>
      <c r="U282">
        <v>21.111999999999998</v>
      </c>
      <c r="V282">
        <v>108.80799999999999</v>
      </c>
      <c r="W282">
        <v>103.93599999999999</v>
      </c>
      <c r="X282">
        <v>4.5952503492390266E-2</v>
      </c>
    </row>
    <row r="283" spans="1:24" x14ac:dyDescent="0.3">
      <c r="A283" t="s">
        <v>2035</v>
      </c>
      <c r="B283" t="s">
        <v>2036</v>
      </c>
      <c r="C283" s="1">
        <v>43288</v>
      </c>
      <c r="D283" s="1">
        <v>43293</v>
      </c>
      <c r="E283" t="s">
        <v>54</v>
      </c>
      <c r="F283" t="s">
        <v>2037</v>
      </c>
      <c r="G283" t="s">
        <v>2038</v>
      </c>
      <c r="H283" t="s">
        <v>43</v>
      </c>
      <c r="I283" t="s">
        <v>30</v>
      </c>
      <c r="J283" t="s">
        <v>2039</v>
      </c>
      <c r="K283" t="s">
        <v>58</v>
      </c>
      <c r="L283" t="s">
        <v>2040</v>
      </c>
      <c r="M283" t="s">
        <v>34</v>
      </c>
      <c r="N283" t="s">
        <v>2041</v>
      </c>
      <c r="O283" t="s">
        <v>49</v>
      </c>
      <c r="P283" t="s">
        <v>1705</v>
      </c>
      <c r="Q283" t="s">
        <v>2042</v>
      </c>
      <c r="R283">
        <v>45.584000000000003</v>
      </c>
      <c r="S283">
        <v>7</v>
      </c>
      <c r="T283">
        <v>0.2</v>
      </c>
      <c r="U283">
        <v>5.1281999999999996</v>
      </c>
      <c r="V283">
        <v>40.455800000000004</v>
      </c>
      <c r="W283">
        <v>36.467200000000005</v>
      </c>
      <c r="X283">
        <v>0.17302834204242654</v>
      </c>
    </row>
    <row r="284" spans="1:24" x14ac:dyDescent="0.3">
      <c r="A284" t="s">
        <v>2043</v>
      </c>
      <c r="B284" t="s">
        <v>2044</v>
      </c>
      <c r="C284" s="1">
        <v>43724</v>
      </c>
      <c r="D284" s="1">
        <v>43728</v>
      </c>
      <c r="E284" t="s">
        <v>54</v>
      </c>
      <c r="F284" t="s">
        <v>2045</v>
      </c>
      <c r="G284" t="s">
        <v>2046</v>
      </c>
      <c r="H284" t="s">
        <v>29</v>
      </c>
      <c r="I284" t="s">
        <v>30</v>
      </c>
      <c r="J284" t="s">
        <v>2047</v>
      </c>
      <c r="K284" t="s">
        <v>97</v>
      </c>
      <c r="L284" t="s">
        <v>2048</v>
      </c>
      <c r="M284" t="s">
        <v>99</v>
      </c>
      <c r="N284" t="s">
        <v>2049</v>
      </c>
      <c r="O284" t="s">
        <v>49</v>
      </c>
      <c r="P284" t="s">
        <v>195</v>
      </c>
      <c r="Q284" t="s">
        <v>2050</v>
      </c>
      <c r="R284">
        <v>17.568000000000001</v>
      </c>
      <c r="S284">
        <v>2</v>
      </c>
      <c r="T284">
        <v>0.2</v>
      </c>
      <c r="U284">
        <v>6.3684000000000003</v>
      </c>
      <c r="V284">
        <v>11.1996</v>
      </c>
      <c r="W284">
        <v>14.054400000000001</v>
      </c>
      <c r="X284">
        <v>0.1785778063502268</v>
      </c>
    </row>
    <row r="285" spans="1:24" x14ac:dyDescent="0.3">
      <c r="A285" t="s">
        <v>2051</v>
      </c>
      <c r="B285" t="s">
        <v>2052</v>
      </c>
      <c r="C285" s="1">
        <v>43437</v>
      </c>
      <c r="D285" s="1">
        <v>43440</v>
      </c>
      <c r="E285" t="s">
        <v>180</v>
      </c>
      <c r="F285" t="s">
        <v>2053</v>
      </c>
      <c r="G285" t="s">
        <v>2054</v>
      </c>
      <c r="H285" t="s">
        <v>29</v>
      </c>
      <c r="I285" t="s">
        <v>30</v>
      </c>
      <c r="J285" t="s">
        <v>2055</v>
      </c>
      <c r="K285" t="s">
        <v>262</v>
      </c>
      <c r="L285" t="s">
        <v>2056</v>
      </c>
      <c r="M285" t="s">
        <v>147</v>
      </c>
      <c r="N285" t="s">
        <v>2057</v>
      </c>
      <c r="O285" t="s">
        <v>49</v>
      </c>
      <c r="P285" t="s">
        <v>79</v>
      </c>
      <c r="Q285" t="s">
        <v>2058</v>
      </c>
      <c r="R285">
        <v>182.72</v>
      </c>
      <c r="S285">
        <v>8</v>
      </c>
      <c r="T285">
        <v>0</v>
      </c>
      <c r="U285">
        <v>84.051199999999994</v>
      </c>
      <c r="V285">
        <v>98.668800000000005</v>
      </c>
      <c r="W285">
        <v>182.72</v>
      </c>
      <c r="X285">
        <v>8.1079328014529412E-2</v>
      </c>
    </row>
    <row r="286" spans="1:24" x14ac:dyDescent="0.3">
      <c r="A286" t="s">
        <v>2059</v>
      </c>
      <c r="B286" t="s">
        <v>2060</v>
      </c>
      <c r="C286" s="1">
        <v>43486</v>
      </c>
      <c r="D286" s="1">
        <v>43490</v>
      </c>
      <c r="E286" t="s">
        <v>54</v>
      </c>
      <c r="F286" t="s">
        <v>2061</v>
      </c>
      <c r="G286" t="s">
        <v>2062</v>
      </c>
      <c r="H286" t="s">
        <v>95</v>
      </c>
      <c r="I286" t="s">
        <v>30</v>
      </c>
      <c r="J286" t="s">
        <v>85</v>
      </c>
      <c r="K286" t="s">
        <v>86</v>
      </c>
      <c r="L286" t="s">
        <v>613</v>
      </c>
      <c r="M286" t="s">
        <v>47</v>
      </c>
      <c r="N286" t="s">
        <v>2063</v>
      </c>
      <c r="O286" t="s">
        <v>49</v>
      </c>
      <c r="P286" t="s">
        <v>111</v>
      </c>
      <c r="Q286" t="s">
        <v>2064</v>
      </c>
      <c r="R286">
        <v>242.94</v>
      </c>
      <c r="S286">
        <v>3</v>
      </c>
      <c r="T286">
        <v>0</v>
      </c>
      <c r="U286">
        <v>9.7175999999999991</v>
      </c>
      <c r="V286">
        <v>233.22239999999999</v>
      </c>
      <c r="W286">
        <v>242.94</v>
      </c>
      <c r="X286">
        <v>1.2863258417716308E-2</v>
      </c>
    </row>
    <row r="287" spans="1:24" x14ac:dyDescent="0.3">
      <c r="A287" t="s">
        <v>2065</v>
      </c>
      <c r="B287" t="s">
        <v>2066</v>
      </c>
      <c r="C287" s="1">
        <v>42373</v>
      </c>
      <c r="D287" s="1">
        <v>42377</v>
      </c>
      <c r="E287" t="s">
        <v>54</v>
      </c>
      <c r="F287" t="s">
        <v>2067</v>
      </c>
      <c r="G287" t="s">
        <v>2068</v>
      </c>
      <c r="H287" t="s">
        <v>95</v>
      </c>
      <c r="I287" t="s">
        <v>30</v>
      </c>
      <c r="J287" t="s">
        <v>201</v>
      </c>
      <c r="K287" t="s">
        <v>202</v>
      </c>
      <c r="L287" t="s">
        <v>203</v>
      </c>
      <c r="M287" t="s">
        <v>99</v>
      </c>
      <c r="N287" t="s">
        <v>2069</v>
      </c>
      <c r="O287" t="s">
        <v>49</v>
      </c>
      <c r="P287" t="s">
        <v>50</v>
      </c>
      <c r="Q287" t="s">
        <v>2070</v>
      </c>
      <c r="R287">
        <v>11.784000000000001</v>
      </c>
      <c r="S287">
        <v>3</v>
      </c>
      <c r="T287">
        <v>0.2</v>
      </c>
      <c r="U287">
        <v>4.2717000000000001</v>
      </c>
      <c r="V287">
        <v>7.5123000000000006</v>
      </c>
      <c r="W287">
        <v>9.4272000000000009</v>
      </c>
      <c r="X287">
        <v>0.39934507407851122</v>
      </c>
    </row>
    <row r="288" spans="1:24" x14ac:dyDescent="0.3">
      <c r="A288" t="s">
        <v>2071</v>
      </c>
      <c r="B288" t="s">
        <v>2072</v>
      </c>
      <c r="C288" s="1">
        <v>43339</v>
      </c>
      <c r="D288" s="1">
        <v>43344</v>
      </c>
      <c r="E288" t="s">
        <v>54</v>
      </c>
      <c r="F288" t="s">
        <v>2073</v>
      </c>
      <c r="G288" t="s">
        <v>2074</v>
      </c>
      <c r="H288" t="s">
        <v>29</v>
      </c>
      <c r="I288" t="s">
        <v>30</v>
      </c>
      <c r="J288" t="s">
        <v>782</v>
      </c>
      <c r="K288" t="s">
        <v>97</v>
      </c>
      <c r="L288" t="s">
        <v>783</v>
      </c>
      <c r="M288" t="s">
        <v>99</v>
      </c>
      <c r="N288" t="s">
        <v>1704</v>
      </c>
      <c r="O288" t="s">
        <v>49</v>
      </c>
      <c r="P288" t="s">
        <v>1705</v>
      </c>
      <c r="Q288" t="s">
        <v>1706</v>
      </c>
      <c r="R288">
        <v>51.52</v>
      </c>
      <c r="S288">
        <v>5</v>
      </c>
      <c r="T288">
        <v>0.2</v>
      </c>
      <c r="U288">
        <v>-10.948</v>
      </c>
      <c r="V288">
        <v>62.468000000000004</v>
      </c>
      <c r="W288">
        <v>41.216000000000008</v>
      </c>
      <c r="X288">
        <v>8.0040980982262908E-2</v>
      </c>
    </row>
    <row r="289" spans="1:24" x14ac:dyDescent="0.3">
      <c r="A289" t="s">
        <v>2075</v>
      </c>
      <c r="B289" t="s">
        <v>2076</v>
      </c>
      <c r="C289" s="1">
        <v>43179</v>
      </c>
      <c r="D289" s="1">
        <v>43181</v>
      </c>
      <c r="E289" t="s">
        <v>26</v>
      </c>
      <c r="F289" t="s">
        <v>2077</v>
      </c>
      <c r="G289" t="s">
        <v>2078</v>
      </c>
      <c r="H289" t="s">
        <v>29</v>
      </c>
      <c r="I289" t="s">
        <v>30</v>
      </c>
      <c r="J289" t="s">
        <v>2079</v>
      </c>
      <c r="K289" t="s">
        <v>202</v>
      </c>
      <c r="L289" t="s">
        <v>2080</v>
      </c>
      <c r="M289" t="s">
        <v>99</v>
      </c>
      <c r="N289" t="s">
        <v>2081</v>
      </c>
      <c r="O289" t="s">
        <v>186</v>
      </c>
      <c r="P289" t="s">
        <v>187</v>
      </c>
      <c r="Q289" t="s">
        <v>2082</v>
      </c>
      <c r="R289">
        <v>11.992000000000001</v>
      </c>
      <c r="S289">
        <v>1</v>
      </c>
      <c r="T289">
        <v>0.2</v>
      </c>
      <c r="U289">
        <v>0.89939999999999998</v>
      </c>
      <c r="V289">
        <v>11.092600000000001</v>
      </c>
      <c r="W289">
        <v>9.5936000000000003</v>
      </c>
      <c r="X289">
        <v>9.0150190216901349E-2</v>
      </c>
    </row>
    <row r="290" spans="1:24" x14ac:dyDescent="0.3">
      <c r="A290" t="s">
        <v>2083</v>
      </c>
      <c r="B290" t="s">
        <v>2084</v>
      </c>
      <c r="C290" s="1">
        <v>43740</v>
      </c>
      <c r="D290" s="1">
        <v>43744</v>
      </c>
      <c r="E290" t="s">
        <v>54</v>
      </c>
      <c r="F290" t="s">
        <v>2085</v>
      </c>
      <c r="G290" t="s">
        <v>2086</v>
      </c>
      <c r="H290" t="s">
        <v>29</v>
      </c>
      <c r="I290" t="s">
        <v>30</v>
      </c>
      <c r="J290" t="s">
        <v>2087</v>
      </c>
      <c r="K290" t="s">
        <v>235</v>
      </c>
      <c r="L290" t="s">
        <v>2088</v>
      </c>
      <c r="M290" t="s">
        <v>99</v>
      </c>
      <c r="N290" t="s">
        <v>2089</v>
      </c>
      <c r="O290" t="s">
        <v>49</v>
      </c>
      <c r="P290" t="s">
        <v>89</v>
      </c>
      <c r="Q290" t="s">
        <v>2090</v>
      </c>
      <c r="R290">
        <v>58.05</v>
      </c>
      <c r="S290">
        <v>3</v>
      </c>
      <c r="T290">
        <v>0</v>
      </c>
      <c r="U290">
        <v>26.702999999999999</v>
      </c>
      <c r="V290">
        <v>31.346999999999998</v>
      </c>
      <c r="W290">
        <v>58.05</v>
      </c>
      <c r="X290">
        <v>9.5702938080199071E-2</v>
      </c>
    </row>
    <row r="291" spans="1:24" x14ac:dyDescent="0.3">
      <c r="A291" t="s">
        <v>2091</v>
      </c>
      <c r="B291" t="s">
        <v>2092</v>
      </c>
      <c r="C291" s="1">
        <v>43197</v>
      </c>
      <c r="D291" s="1">
        <v>43199</v>
      </c>
      <c r="E291" t="s">
        <v>180</v>
      </c>
      <c r="F291" t="s">
        <v>2093</v>
      </c>
      <c r="G291" t="s">
        <v>2094</v>
      </c>
      <c r="H291" t="s">
        <v>43</v>
      </c>
      <c r="I291" t="s">
        <v>30</v>
      </c>
      <c r="J291" t="s">
        <v>126</v>
      </c>
      <c r="K291" t="s">
        <v>45</v>
      </c>
      <c r="L291" t="s">
        <v>957</v>
      </c>
      <c r="M291" t="s">
        <v>47</v>
      </c>
      <c r="N291" t="s">
        <v>2095</v>
      </c>
      <c r="O291" t="s">
        <v>186</v>
      </c>
      <c r="P291" t="s">
        <v>2096</v>
      </c>
      <c r="Q291" t="s">
        <v>2097</v>
      </c>
      <c r="R291">
        <v>1199.9760000000001</v>
      </c>
      <c r="S291">
        <v>3</v>
      </c>
      <c r="T291">
        <v>0.2</v>
      </c>
      <c r="U291">
        <v>374.99250000000001</v>
      </c>
      <c r="V291">
        <v>824.98350000000005</v>
      </c>
      <c r="W291">
        <v>959.98080000000016</v>
      </c>
      <c r="X291">
        <v>3.6364363650909378E-3</v>
      </c>
    </row>
    <row r="292" spans="1:24" x14ac:dyDescent="0.3">
      <c r="A292" t="s">
        <v>2098</v>
      </c>
      <c r="B292" t="s">
        <v>2099</v>
      </c>
      <c r="C292" s="1">
        <v>42733</v>
      </c>
      <c r="D292" s="1">
        <v>42737</v>
      </c>
      <c r="E292" t="s">
        <v>54</v>
      </c>
      <c r="F292" t="s">
        <v>2100</v>
      </c>
      <c r="G292" t="s">
        <v>2101</v>
      </c>
      <c r="H292" t="s">
        <v>29</v>
      </c>
      <c r="I292" t="s">
        <v>30</v>
      </c>
      <c r="J292" t="s">
        <v>2102</v>
      </c>
      <c r="K292" t="s">
        <v>225</v>
      </c>
      <c r="L292" t="s">
        <v>2103</v>
      </c>
      <c r="M292" t="s">
        <v>99</v>
      </c>
      <c r="N292" t="s">
        <v>2104</v>
      </c>
      <c r="O292" t="s">
        <v>49</v>
      </c>
      <c r="P292" t="s">
        <v>111</v>
      </c>
      <c r="Q292" t="s">
        <v>2105</v>
      </c>
      <c r="R292">
        <v>24.56</v>
      </c>
      <c r="S292">
        <v>2</v>
      </c>
      <c r="T292">
        <v>0</v>
      </c>
      <c r="U292">
        <v>6.8768000000000002</v>
      </c>
      <c r="V292">
        <v>17.683199999999999</v>
      </c>
      <c r="W292">
        <v>24.56</v>
      </c>
      <c r="X292">
        <v>0.11310170104958379</v>
      </c>
    </row>
    <row r="293" spans="1:24" x14ac:dyDescent="0.3">
      <c r="A293" t="s">
        <v>2106</v>
      </c>
      <c r="B293" t="s">
        <v>2107</v>
      </c>
      <c r="C293" s="1">
        <v>43669</v>
      </c>
      <c r="D293" s="1">
        <v>43674</v>
      </c>
      <c r="E293" t="s">
        <v>54</v>
      </c>
      <c r="F293" t="s">
        <v>2108</v>
      </c>
      <c r="G293" t="s">
        <v>2109</v>
      </c>
      <c r="H293" t="s">
        <v>43</v>
      </c>
      <c r="I293" t="s">
        <v>30</v>
      </c>
      <c r="J293" t="s">
        <v>261</v>
      </c>
      <c r="K293" t="s">
        <v>262</v>
      </c>
      <c r="L293" t="s">
        <v>312</v>
      </c>
      <c r="M293" t="s">
        <v>147</v>
      </c>
      <c r="N293" t="s">
        <v>1763</v>
      </c>
      <c r="O293" t="s">
        <v>49</v>
      </c>
      <c r="P293" t="s">
        <v>89</v>
      </c>
      <c r="Q293" t="s">
        <v>1764</v>
      </c>
      <c r="R293">
        <v>13.128</v>
      </c>
      <c r="S293">
        <v>3</v>
      </c>
      <c r="T293">
        <v>0.2</v>
      </c>
      <c r="U293">
        <v>4.2666000000000004</v>
      </c>
      <c r="V293">
        <v>8.8613999999999997</v>
      </c>
      <c r="W293">
        <v>10.502400000000002</v>
      </c>
      <c r="X293">
        <v>0.33854695646286143</v>
      </c>
    </row>
    <row r="294" spans="1:24" x14ac:dyDescent="0.3">
      <c r="A294" t="s">
        <v>2110</v>
      </c>
      <c r="B294" t="s">
        <v>2111</v>
      </c>
      <c r="C294" s="1">
        <v>43726</v>
      </c>
      <c r="D294" s="1">
        <v>43730</v>
      </c>
      <c r="E294" t="s">
        <v>54</v>
      </c>
      <c r="F294" t="s">
        <v>2112</v>
      </c>
      <c r="G294" t="s">
        <v>2113</v>
      </c>
      <c r="H294" t="s">
        <v>43</v>
      </c>
      <c r="I294" t="s">
        <v>30</v>
      </c>
      <c r="J294" t="s">
        <v>1605</v>
      </c>
      <c r="K294" t="s">
        <v>108</v>
      </c>
      <c r="L294" t="s">
        <v>1606</v>
      </c>
      <c r="M294" t="s">
        <v>99</v>
      </c>
      <c r="N294" t="s">
        <v>2114</v>
      </c>
      <c r="O294" t="s">
        <v>49</v>
      </c>
      <c r="P294" t="s">
        <v>79</v>
      </c>
      <c r="Q294" t="s">
        <v>2115</v>
      </c>
      <c r="R294">
        <v>22.72</v>
      </c>
      <c r="S294">
        <v>4</v>
      </c>
      <c r="T294">
        <v>0</v>
      </c>
      <c r="U294">
        <v>10.224</v>
      </c>
      <c r="V294">
        <v>12.495999999999999</v>
      </c>
      <c r="W294">
        <v>22.72</v>
      </c>
      <c r="X294">
        <v>0.32010243277848915</v>
      </c>
    </row>
    <row r="295" spans="1:24" x14ac:dyDescent="0.3">
      <c r="A295" t="s">
        <v>2116</v>
      </c>
      <c r="B295" t="s">
        <v>2117</v>
      </c>
      <c r="C295" s="1">
        <v>42774</v>
      </c>
      <c r="D295" s="1">
        <v>42779</v>
      </c>
      <c r="E295" t="s">
        <v>54</v>
      </c>
      <c r="F295" t="s">
        <v>2118</v>
      </c>
      <c r="G295" t="s">
        <v>2119</v>
      </c>
      <c r="H295" t="s">
        <v>29</v>
      </c>
      <c r="I295" t="s">
        <v>30</v>
      </c>
      <c r="J295" t="s">
        <v>475</v>
      </c>
      <c r="K295" t="s">
        <v>476</v>
      </c>
      <c r="L295" t="s">
        <v>477</v>
      </c>
      <c r="M295" t="s">
        <v>147</v>
      </c>
      <c r="N295" t="s">
        <v>2120</v>
      </c>
      <c r="O295" t="s">
        <v>186</v>
      </c>
      <c r="P295" t="s">
        <v>187</v>
      </c>
      <c r="Q295" t="s">
        <v>2121</v>
      </c>
      <c r="R295">
        <v>107.982</v>
      </c>
      <c r="S295">
        <v>3</v>
      </c>
      <c r="T295">
        <v>0.4</v>
      </c>
      <c r="U295">
        <v>-26.9955</v>
      </c>
      <c r="V295">
        <v>134.97749999999999</v>
      </c>
      <c r="W295">
        <v>64.789199999999994</v>
      </c>
      <c r="X295">
        <v>2.2225926543312777E-2</v>
      </c>
    </row>
    <row r="296" spans="1:24" x14ac:dyDescent="0.3">
      <c r="A296" t="s">
        <v>2122</v>
      </c>
      <c r="B296" t="s">
        <v>2123</v>
      </c>
      <c r="C296" s="1">
        <v>42382</v>
      </c>
      <c r="D296" s="1">
        <v>42384</v>
      </c>
      <c r="E296" t="s">
        <v>26</v>
      </c>
      <c r="F296" t="s">
        <v>2124</v>
      </c>
      <c r="G296" t="s">
        <v>2125</v>
      </c>
      <c r="H296" t="s">
        <v>43</v>
      </c>
      <c r="I296" t="s">
        <v>30</v>
      </c>
      <c r="J296" t="s">
        <v>2126</v>
      </c>
      <c r="K296" t="s">
        <v>697</v>
      </c>
      <c r="L296" t="s">
        <v>2127</v>
      </c>
      <c r="M296" t="s">
        <v>34</v>
      </c>
      <c r="N296" t="s">
        <v>644</v>
      </c>
      <c r="O296" t="s">
        <v>49</v>
      </c>
      <c r="P296" t="s">
        <v>195</v>
      </c>
      <c r="Q296" t="s">
        <v>645</v>
      </c>
      <c r="R296">
        <v>11.36</v>
      </c>
      <c r="S296">
        <v>2</v>
      </c>
      <c r="T296">
        <v>0</v>
      </c>
      <c r="U296">
        <v>5.3391999999999999</v>
      </c>
      <c r="V296">
        <v>6.0207999999999995</v>
      </c>
      <c r="W296">
        <v>11.36</v>
      </c>
      <c r="X296">
        <v>0.33218176986446984</v>
      </c>
    </row>
    <row r="297" spans="1:24" x14ac:dyDescent="0.3">
      <c r="A297" t="s">
        <v>2128</v>
      </c>
      <c r="B297" t="s">
        <v>2129</v>
      </c>
      <c r="C297" s="1">
        <v>42504</v>
      </c>
      <c r="D297" s="1">
        <v>42510</v>
      </c>
      <c r="E297" t="s">
        <v>54</v>
      </c>
      <c r="F297" t="s">
        <v>2130</v>
      </c>
      <c r="G297" t="s">
        <v>2131</v>
      </c>
      <c r="H297" t="s">
        <v>43</v>
      </c>
      <c r="I297" t="s">
        <v>30</v>
      </c>
      <c r="J297" t="s">
        <v>1044</v>
      </c>
      <c r="K297" t="s">
        <v>58</v>
      </c>
      <c r="L297" t="s">
        <v>1045</v>
      </c>
      <c r="M297" t="s">
        <v>34</v>
      </c>
      <c r="N297" t="s">
        <v>2132</v>
      </c>
      <c r="O297" t="s">
        <v>36</v>
      </c>
      <c r="P297" t="s">
        <v>69</v>
      </c>
      <c r="Q297" t="s">
        <v>2133</v>
      </c>
      <c r="R297">
        <v>310.88</v>
      </c>
      <c r="S297">
        <v>2</v>
      </c>
      <c r="T297">
        <v>0.2</v>
      </c>
      <c r="U297">
        <v>23.315999999999999</v>
      </c>
      <c r="V297">
        <v>287.56400000000002</v>
      </c>
      <c r="W297">
        <v>248.70400000000001</v>
      </c>
      <c r="X297">
        <v>6.9549735015509585E-3</v>
      </c>
    </row>
    <row r="298" spans="1:24" x14ac:dyDescent="0.3">
      <c r="A298" t="s">
        <v>2134</v>
      </c>
      <c r="B298" t="s">
        <v>2135</v>
      </c>
      <c r="C298" s="1">
        <v>43495</v>
      </c>
      <c r="D298" s="1">
        <v>43501</v>
      </c>
      <c r="E298" t="s">
        <v>54</v>
      </c>
      <c r="F298" t="s">
        <v>2136</v>
      </c>
      <c r="G298" t="s">
        <v>2137</v>
      </c>
      <c r="H298" t="s">
        <v>43</v>
      </c>
      <c r="I298" t="s">
        <v>30</v>
      </c>
      <c r="J298" t="s">
        <v>1240</v>
      </c>
      <c r="K298" t="s">
        <v>467</v>
      </c>
      <c r="L298" t="s">
        <v>2138</v>
      </c>
      <c r="M298" t="s">
        <v>99</v>
      </c>
      <c r="N298" t="s">
        <v>2139</v>
      </c>
      <c r="O298" t="s">
        <v>49</v>
      </c>
      <c r="P298" t="s">
        <v>89</v>
      </c>
      <c r="Q298" t="s">
        <v>2140</v>
      </c>
      <c r="R298">
        <v>18.28</v>
      </c>
      <c r="S298">
        <v>2</v>
      </c>
      <c r="T298">
        <v>0</v>
      </c>
      <c r="U298">
        <v>9.14</v>
      </c>
      <c r="V298">
        <v>9.14</v>
      </c>
      <c r="W298">
        <v>18.28</v>
      </c>
      <c r="X298">
        <v>0.21881838074398249</v>
      </c>
    </row>
    <row r="299" spans="1:24" x14ac:dyDescent="0.3">
      <c r="A299" t="s">
        <v>2141</v>
      </c>
      <c r="B299" t="s">
        <v>2142</v>
      </c>
      <c r="C299" s="1">
        <v>42550</v>
      </c>
      <c r="D299" s="1">
        <v>42557</v>
      </c>
      <c r="E299" t="s">
        <v>54</v>
      </c>
      <c r="F299" t="s">
        <v>2143</v>
      </c>
      <c r="G299" t="s">
        <v>2144</v>
      </c>
      <c r="H299" t="s">
        <v>29</v>
      </c>
      <c r="I299" t="s">
        <v>30</v>
      </c>
      <c r="J299" t="s">
        <v>949</v>
      </c>
      <c r="K299" t="s">
        <v>476</v>
      </c>
      <c r="L299" t="s">
        <v>950</v>
      </c>
      <c r="M299" t="s">
        <v>147</v>
      </c>
      <c r="N299" t="s">
        <v>2145</v>
      </c>
      <c r="O299" t="s">
        <v>49</v>
      </c>
      <c r="P299" t="s">
        <v>129</v>
      </c>
      <c r="Q299" t="s">
        <v>2146</v>
      </c>
      <c r="R299">
        <v>32.76</v>
      </c>
      <c r="S299">
        <v>7</v>
      </c>
      <c r="T299">
        <v>0.2</v>
      </c>
      <c r="U299">
        <v>3.6855000000000002</v>
      </c>
      <c r="V299">
        <v>29.074499999999997</v>
      </c>
      <c r="W299">
        <v>26.207999999999998</v>
      </c>
      <c r="X299">
        <v>0.24076080414108586</v>
      </c>
    </row>
    <row r="300" spans="1:24" x14ac:dyDescent="0.3">
      <c r="A300" t="s">
        <v>2147</v>
      </c>
      <c r="B300" t="s">
        <v>2148</v>
      </c>
      <c r="C300" s="1">
        <v>43011</v>
      </c>
      <c r="D300" s="1">
        <v>43014</v>
      </c>
      <c r="E300" t="s">
        <v>26</v>
      </c>
      <c r="F300" t="s">
        <v>2149</v>
      </c>
      <c r="G300" t="s">
        <v>2150</v>
      </c>
      <c r="H300" t="s">
        <v>29</v>
      </c>
      <c r="I300" t="s">
        <v>30</v>
      </c>
      <c r="J300" t="s">
        <v>475</v>
      </c>
      <c r="K300" t="s">
        <v>476</v>
      </c>
      <c r="L300" t="s">
        <v>477</v>
      </c>
      <c r="M300" t="s">
        <v>147</v>
      </c>
      <c r="N300" t="s">
        <v>2151</v>
      </c>
      <c r="O300" t="s">
        <v>49</v>
      </c>
      <c r="P300" t="s">
        <v>89</v>
      </c>
      <c r="Q300" t="s">
        <v>2152</v>
      </c>
      <c r="R300">
        <v>32.07</v>
      </c>
      <c r="S300">
        <v>5</v>
      </c>
      <c r="T300">
        <v>0.7</v>
      </c>
      <c r="U300">
        <v>-22.449000000000002</v>
      </c>
      <c r="V300">
        <v>54.519000000000005</v>
      </c>
      <c r="W300">
        <v>9.6210000000000022</v>
      </c>
      <c r="X300">
        <v>9.1711146572754448E-2</v>
      </c>
    </row>
    <row r="301" spans="1:24" x14ac:dyDescent="0.3">
      <c r="A301" t="s">
        <v>2153</v>
      </c>
      <c r="B301" t="s">
        <v>2154</v>
      </c>
      <c r="C301" s="1">
        <v>43081</v>
      </c>
      <c r="D301" s="1">
        <v>43085</v>
      </c>
      <c r="E301" t="s">
        <v>54</v>
      </c>
      <c r="F301" t="s">
        <v>2155</v>
      </c>
      <c r="G301" t="s">
        <v>2156</v>
      </c>
      <c r="H301" t="s">
        <v>29</v>
      </c>
      <c r="I301" t="s">
        <v>30</v>
      </c>
      <c r="J301" t="s">
        <v>2157</v>
      </c>
      <c r="K301" t="s">
        <v>45</v>
      </c>
      <c r="L301" t="s">
        <v>2158</v>
      </c>
      <c r="M301" t="s">
        <v>47</v>
      </c>
      <c r="N301" t="s">
        <v>2159</v>
      </c>
      <c r="O301" t="s">
        <v>36</v>
      </c>
      <c r="P301" t="s">
        <v>149</v>
      </c>
      <c r="Q301" t="s">
        <v>2160</v>
      </c>
      <c r="R301">
        <v>348.928</v>
      </c>
      <c r="S301">
        <v>2</v>
      </c>
      <c r="T301">
        <v>0.2</v>
      </c>
      <c r="U301">
        <v>34.892800000000001</v>
      </c>
      <c r="V301">
        <v>314.03519999999997</v>
      </c>
      <c r="W301">
        <v>279.14240000000001</v>
      </c>
      <c r="X301">
        <v>6.368712806717209E-3</v>
      </c>
    </row>
    <row r="302" spans="1:24" x14ac:dyDescent="0.3">
      <c r="A302" t="s">
        <v>2161</v>
      </c>
      <c r="B302" t="s">
        <v>2162</v>
      </c>
      <c r="C302" s="1">
        <v>43240</v>
      </c>
      <c r="D302" s="1">
        <v>43240</v>
      </c>
      <c r="E302" t="s">
        <v>1152</v>
      </c>
      <c r="F302" t="s">
        <v>2163</v>
      </c>
      <c r="G302" t="s">
        <v>2164</v>
      </c>
      <c r="H302" t="s">
        <v>29</v>
      </c>
      <c r="I302" t="s">
        <v>30</v>
      </c>
      <c r="J302" t="s">
        <v>2165</v>
      </c>
      <c r="K302" t="s">
        <v>76</v>
      </c>
      <c r="L302" t="s">
        <v>2166</v>
      </c>
      <c r="M302" t="s">
        <v>34</v>
      </c>
      <c r="N302" t="s">
        <v>2167</v>
      </c>
      <c r="O302" t="s">
        <v>186</v>
      </c>
      <c r="P302" t="s">
        <v>187</v>
      </c>
      <c r="Q302" t="s">
        <v>2168</v>
      </c>
      <c r="R302">
        <v>1363.96</v>
      </c>
      <c r="S302">
        <v>5</v>
      </c>
      <c r="T302">
        <v>0.2</v>
      </c>
      <c r="U302">
        <v>85.247500000000002</v>
      </c>
      <c r="V302">
        <v>1278.7125000000001</v>
      </c>
      <c r="W302">
        <v>1091.1680000000001</v>
      </c>
      <c r="X302">
        <v>3.9101830943233913E-3</v>
      </c>
    </row>
    <row r="303" spans="1:24" x14ac:dyDescent="0.3">
      <c r="A303" t="s">
        <v>2169</v>
      </c>
      <c r="B303" t="s">
        <v>2170</v>
      </c>
      <c r="C303" s="1">
        <v>42633</v>
      </c>
      <c r="D303" s="1">
        <v>42639</v>
      </c>
      <c r="E303" t="s">
        <v>54</v>
      </c>
      <c r="F303" t="s">
        <v>2171</v>
      </c>
      <c r="G303" t="s">
        <v>2172</v>
      </c>
      <c r="H303" t="s">
        <v>29</v>
      </c>
      <c r="I303" t="s">
        <v>30</v>
      </c>
      <c r="J303" t="s">
        <v>126</v>
      </c>
      <c r="K303" t="s">
        <v>45</v>
      </c>
      <c r="L303" t="s">
        <v>957</v>
      </c>
      <c r="M303" t="s">
        <v>47</v>
      </c>
      <c r="N303" t="s">
        <v>2173</v>
      </c>
      <c r="O303" t="s">
        <v>49</v>
      </c>
      <c r="P303" t="s">
        <v>50</v>
      </c>
      <c r="Q303" t="s">
        <v>2174</v>
      </c>
      <c r="R303">
        <v>9.9600000000000009</v>
      </c>
      <c r="S303">
        <v>2</v>
      </c>
      <c r="T303">
        <v>0</v>
      </c>
      <c r="U303">
        <v>4.5815999999999999</v>
      </c>
      <c r="V303">
        <v>5.378400000000001</v>
      </c>
      <c r="W303">
        <v>9.9600000000000009</v>
      </c>
      <c r="X303">
        <v>0.37185780157667703</v>
      </c>
    </row>
    <row r="304" spans="1:24" x14ac:dyDescent="0.3">
      <c r="A304" t="s">
        <v>2175</v>
      </c>
      <c r="B304" t="s">
        <v>2176</v>
      </c>
      <c r="C304" s="1">
        <v>43729</v>
      </c>
      <c r="D304" s="1">
        <v>43734</v>
      </c>
      <c r="E304" t="s">
        <v>54</v>
      </c>
      <c r="F304" t="s">
        <v>2177</v>
      </c>
      <c r="G304" t="s">
        <v>2178</v>
      </c>
      <c r="H304" t="s">
        <v>29</v>
      </c>
      <c r="I304" t="s">
        <v>30</v>
      </c>
      <c r="J304" t="s">
        <v>365</v>
      </c>
      <c r="K304" t="s">
        <v>225</v>
      </c>
      <c r="L304" t="s">
        <v>366</v>
      </c>
      <c r="M304" t="s">
        <v>99</v>
      </c>
      <c r="N304" t="s">
        <v>2179</v>
      </c>
      <c r="O304" t="s">
        <v>49</v>
      </c>
      <c r="P304" t="s">
        <v>89</v>
      </c>
      <c r="Q304" t="s">
        <v>2180</v>
      </c>
      <c r="R304">
        <v>20.16</v>
      </c>
      <c r="S304">
        <v>7</v>
      </c>
      <c r="T304">
        <v>0</v>
      </c>
      <c r="U304">
        <v>9.8783999999999992</v>
      </c>
      <c r="V304">
        <v>10.281600000000001</v>
      </c>
      <c r="W304">
        <v>20.16</v>
      </c>
      <c r="X304">
        <v>0.68082788671023964</v>
      </c>
    </row>
    <row r="305" spans="1:24" x14ac:dyDescent="0.3">
      <c r="A305" t="s">
        <v>2181</v>
      </c>
      <c r="B305" t="s">
        <v>2182</v>
      </c>
      <c r="C305" s="1">
        <v>43066</v>
      </c>
      <c r="D305" s="1">
        <v>43072</v>
      </c>
      <c r="E305" t="s">
        <v>54</v>
      </c>
      <c r="F305" t="s">
        <v>2183</v>
      </c>
      <c r="G305" t="s">
        <v>2184</v>
      </c>
      <c r="H305" t="s">
        <v>29</v>
      </c>
      <c r="I305" t="s">
        <v>30</v>
      </c>
      <c r="J305" t="s">
        <v>2185</v>
      </c>
      <c r="K305" t="s">
        <v>45</v>
      </c>
      <c r="L305" t="s">
        <v>2186</v>
      </c>
      <c r="M305" t="s">
        <v>47</v>
      </c>
      <c r="N305" t="s">
        <v>2187</v>
      </c>
      <c r="O305" t="s">
        <v>36</v>
      </c>
      <c r="P305" t="s">
        <v>149</v>
      </c>
      <c r="Q305" t="s">
        <v>2188</v>
      </c>
      <c r="R305">
        <v>283.92</v>
      </c>
      <c r="S305">
        <v>5</v>
      </c>
      <c r="T305">
        <v>0.2</v>
      </c>
      <c r="U305">
        <v>17.745000000000001</v>
      </c>
      <c r="V305">
        <v>266.17500000000001</v>
      </c>
      <c r="W305">
        <v>227.13600000000002</v>
      </c>
      <c r="X305">
        <v>1.8784634169249553E-2</v>
      </c>
    </row>
    <row r="306" spans="1:24" x14ac:dyDescent="0.3">
      <c r="A306" t="s">
        <v>2189</v>
      </c>
      <c r="B306" t="s">
        <v>2190</v>
      </c>
      <c r="C306" s="1">
        <v>43516</v>
      </c>
      <c r="D306" s="1">
        <v>43519</v>
      </c>
      <c r="E306" t="s">
        <v>180</v>
      </c>
      <c r="F306" t="s">
        <v>2191</v>
      </c>
      <c r="G306" t="s">
        <v>2192</v>
      </c>
      <c r="H306" t="s">
        <v>43</v>
      </c>
      <c r="I306" t="s">
        <v>30</v>
      </c>
      <c r="J306" t="s">
        <v>887</v>
      </c>
      <c r="K306" t="s">
        <v>45</v>
      </c>
      <c r="L306" t="s">
        <v>2193</v>
      </c>
      <c r="M306" t="s">
        <v>47</v>
      </c>
      <c r="N306" t="s">
        <v>2194</v>
      </c>
      <c r="O306" t="s">
        <v>36</v>
      </c>
      <c r="P306" t="s">
        <v>69</v>
      </c>
      <c r="Q306" t="s">
        <v>2195</v>
      </c>
      <c r="R306">
        <v>22.23</v>
      </c>
      <c r="S306">
        <v>1</v>
      </c>
      <c r="T306">
        <v>0</v>
      </c>
      <c r="U306">
        <v>7.3358999999999996</v>
      </c>
      <c r="V306">
        <v>14.894100000000002</v>
      </c>
      <c r="W306">
        <v>22.23</v>
      </c>
      <c r="X306">
        <v>6.7140679866524319E-2</v>
      </c>
    </row>
    <row r="307" spans="1:24" x14ac:dyDescent="0.3">
      <c r="A307" t="s">
        <v>2196</v>
      </c>
      <c r="B307" t="s">
        <v>2197</v>
      </c>
      <c r="C307" s="1">
        <v>43171</v>
      </c>
      <c r="D307" s="1">
        <v>43176</v>
      </c>
      <c r="E307" t="s">
        <v>54</v>
      </c>
      <c r="F307" t="s">
        <v>2198</v>
      </c>
      <c r="G307" t="s">
        <v>2199</v>
      </c>
      <c r="H307" t="s">
        <v>43</v>
      </c>
      <c r="I307" t="s">
        <v>30</v>
      </c>
      <c r="J307" t="s">
        <v>696</v>
      </c>
      <c r="K307" t="s">
        <v>697</v>
      </c>
      <c r="L307" t="s">
        <v>698</v>
      </c>
      <c r="M307" t="s">
        <v>34</v>
      </c>
      <c r="N307" t="s">
        <v>2200</v>
      </c>
      <c r="O307" t="s">
        <v>49</v>
      </c>
      <c r="P307" t="s">
        <v>79</v>
      </c>
      <c r="Q307" t="s">
        <v>2201</v>
      </c>
      <c r="R307">
        <v>12.96</v>
      </c>
      <c r="S307">
        <v>2</v>
      </c>
      <c r="T307">
        <v>0</v>
      </c>
      <c r="U307">
        <v>6.2207999999999997</v>
      </c>
      <c r="V307">
        <v>6.7392000000000012</v>
      </c>
      <c r="W307">
        <v>12.96</v>
      </c>
      <c r="X307">
        <v>0.29677113010446338</v>
      </c>
    </row>
    <row r="308" spans="1:24" x14ac:dyDescent="0.3">
      <c r="A308" t="s">
        <v>2202</v>
      </c>
      <c r="B308" t="s">
        <v>2203</v>
      </c>
      <c r="C308" s="1">
        <v>43577</v>
      </c>
      <c r="D308" s="1">
        <v>43579</v>
      </c>
      <c r="E308" t="s">
        <v>180</v>
      </c>
      <c r="F308" t="s">
        <v>2204</v>
      </c>
      <c r="G308" t="s">
        <v>2205</v>
      </c>
      <c r="H308" t="s">
        <v>29</v>
      </c>
      <c r="I308" t="s">
        <v>30</v>
      </c>
      <c r="J308" t="s">
        <v>126</v>
      </c>
      <c r="K308" t="s">
        <v>45</v>
      </c>
      <c r="L308" t="s">
        <v>343</v>
      </c>
      <c r="M308" t="s">
        <v>47</v>
      </c>
      <c r="N308" t="s">
        <v>2206</v>
      </c>
      <c r="O308" t="s">
        <v>36</v>
      </c>
      <c r="P308" t="s">
        <v>69</v>
      </c>
      <c r="Q308" t="s">
        <v>2207</v>
      </c>
      <c r="R308">
        <v>18.28</v>
      </c>
      <c r="S308">
        <v>2</v>
      </c>
      <c r="T308">
        <v>0</v>
      </c>
      <c r="U308">
        <v>6.2152000000000003</v>
      </c>
      <c r="V308">
        <v>12.064800000000002</v>
      </c>
      <c r="W308">
        <v>18.28</v>
      </c>
      <c r="X308">
        <v>0.16577150056362308</v>
      </c>
    </row>
    <row r="309" spans="1:24" x14ac:dyDescent="0.3">
      <c r="A309" t="s">
        <v>2208</v>
      </c>
      <c r="B309" t="s">
        <v>2209</v>
      </c>
      <c r="C309" s="1">
        <v>43599</v>
      </c>
      <c r="D309" s="1">
        <v>43599</v>
      </c>
      <c r="E309" t="s">
        <v>1152</v>
      </c>
      <c r="F309" t="s">
        <v>2210</v>
      </c>
      <c r="G309" t="s">
        <v>2211</v>
      </c>
      <c r="H309" t="s">
        <v>29</v>
      </c>
      <c r="I309" t="s">
        <v>30</v>
      </c>
      <c r="J309" t="s">
        <v>2212</v>
      </c>
      <c r="K309" t="s">
        <v>45</v>
      </c>
      <c r="L309" t="s">
        <v>2213</v>
      </c>
      <c r="M309" t="s">
        <v>47</v>
      </c>
      <c r="N309" t="s">
        <v>2206</v>
      </c>
      <c r="O309" t="s">
        <v>36</v>
      </c>
      <c r="P309" t="s">
        <v>69</v>
      </c>
      <c r="Q309" t="s">
        <v>2207</v>
      </c>
      <c r="R309">
        <v>18.28</v>
      </c>
      <c r="S309">
        <v>2</v>
      </c>
      <c r="T309">
        <v>0</v>
      </c>
      <c r="U309">
        <v>6.2152000000000003</v>
      </c>
      <c r="V309">
        <v>12.064800000000002</v>
      </c>
      <c r="W309">
        <v>18.28</v>
      </c>
      <c r="X309">
        <v>0.16577150056362308</v>
      </c>
    </row>
    <row r="310" spans="1:24" x14ac:dyDescent="0.3">
      <c r="A310" t="s">
        <v>2214</v>
      </c>
      <c r="B310" t="s">
        <v>2215</v>
      </c>
      <c r="C310" s="1">
        <v>42814</v>
      </c>
      <c r="D310" s="1">
        <v>42817</v>
      </c>
      <c r="E310" t="s">
        <v>180</v>
      </c>
      <c r="F310" t="s">
        <v>2216</v>
      </c>
      <c r="G310" t="s">
        <v>2217</v>
      </c>
      <c r="H310" t="s">
        <v>43</v>
      </c>
      <c r="I310" t="s">
        <v>30</v>
      </c>
      <c r="J310" t="s">
        <v>2218</v>
      </c>
      <c r="K310" t="s">
        <v>108</v>
      </c>
      <c r="L310" t="s">
        <v>2219</v>
      </c>
      <c r="M310" t="s">
        <v>99</v>
      </c>
      <c r="N310" t="s">
        <v>2220</v>
      </c>
      <c r="O310" t="s">
        <v>49</v>
      </c>
      <c r="P310" t="s">
        <v>79</v>
      </c>
      <c r="Q310" t="s">
        <v>2221</v>
      </c>
      <c r="R310">
        <v>51.84</v>
      </c>
      <c r="S310">
        <v>8</v>
      </c>
      <c r="T310">
        <v>0</v>
      </c>
      <c r="U310">
        <v>24.883199999999999</v>
      </c>
      <c r="V310">
        <v>26.956800000000005</v>
      </c>
      <c r="W310">
        <v>51.84</v>
      </c>
      <c r="X310">
        <v>0.29677113010446338</v>
      </c>
    </row>
    <row r="311" spans="1:24" x14ac:dyDescent="0.3">
      <c r="A311" t="s">
        <v>2222</v>
      </c>
      <c r="B311" t="s">
        <v>2223</v>
      </c>
      <c r="C311" s="1">
        <v>43636</v>
      </c>
      <c r="D311" s="1">
        <v>43643</v>
      </c>
      <c r="E311" t="s">
        <v>54</v>
      </c>
      <c r="F311" t="s">
        <v>2224</v>
      </c>
      <c r="G311" t="s">
        <v>2225</v>
      </c>
      <c r="H311" t="s">
        <v>29</v>
      </c>
      <c r="I311" t="s">
        <v>30</v>
      </c>
      <c r="J311" t="s">
        <v>2226</v>
      </c>
      <c r="K311" t="s">
        <v>751</v>
      </c>
      <c r="L311" t="s">
        <v>2227</v>
      </c>
      <c r="M311" t="s">
        <v>147</v>
      </c>
      <c r="N311" t="s">
        <v>2228</v>
      </c>
      <c r="O311" t="s">
        <v>186</v>
      </c>
      <c r="P311" t="s">
        <v>228</v>
      </c>
      <c r="Q311" t="s">
        <v>2229</v>
      </c>
      <c r="R311">
        <v>239.97</v>
      </c>
      <c r="S311">
        <v>3</v>
      </c>
      <c r="T311">
        <v>0</v>
      </c>
      <c r="U311">
        <v>71.991</v>
      </c>
      <c r="V311">
        <v>167.97899999999998</v>
      </c>
      <c r="W311">
        <v>239.97</v>
      </c>
      <c r="X311">
        <v>1.7859375279052739E-2</v>
      </c>
    </row>
    <row r="312" spans="1:24" x14ac:dyDescent="0.3">
      <c r="A312" t="s">
        <v>2230</v>
      </c>
      <c r="B312" t="s">
        <v>2231</v>
      </c>
      <c r="C312" s="1">
        <v>42499</v>
      </c>
      <c r="D312" s="1">
        <v>42505</v>
      </c>
      <c r="E312" t="s">
        <v>54</v>
      </c>
      <c r="F312" t="s">
        <v>2232</v>
      </c>
      <c r="G312" t="s">
        <v>2233</v>
      </c>
      <c r="H312" t="s">
        <v>29</v>
      </c>
      <c r="I312" t="s">
        <v>30</v>
      </c>
      <c r="J312" t="s">
        <v>126</v>
      </c>
      <c r="K312" t="s">
        <v>45</v>
      </c>
      <c r="L312" t="s">
        <v>957</v>
      </c>
      <c r="M312" t="s">
        <v>47</v>
      </c>
      <c r="N312" t="s">
        <v>2234</v>
      </c>
      <c r="O312" t="s">
        <v>186</v>
      </c>
      <c r="P312" t="s">
        <v>228</v>
      </c>
      <c r="Q312" t="s">
        <v>2235</v>
      </c>
      <c r="R312">
        <v>67.8</v>
      </c>
      <c r="S312">
        <v>4</v>
      </c>
      <c r="T312">
        <v>0</v>
      </c>
      <c r="U312">
        <v>4.0679999999999996</v>
      </c>
      <c r="V312">
        <v>63.731999999999999</v>
      </c>
      <c r="W312">
        <v>67.8</v>
      </c>
      <c r="X312">
        <v>6.2762819305843223E-2</v>
      </c>
    </row>
    <row r="313" spans="1:24" x14ac:dyDescent="0.3">
      <c r="A313" t="s">
        <v>2236</v>
      </c>
      <c r="B313" t="s">
        <v>2237</v>
      </c>
      <c r="C313" s="1">
        <v>43773</v>
      </c>
      <c r="D313" s="1">
        <v>43780</v>
      </c>
      <c r="E313" t="s">
        <v>54</v>
      </c>
      <c r="F313" t="s">
        <v>2238</v>
      </c>
      <c r="G313" t="s">
        <v>2239</v>
      </c>
      <c r="H313" t="s">
        <v>95</v>
      </c>
      <c r="I313" t="s">
        <v>30</v>
      </c>
      <c r="J313" t="s">
        <v>847</v>
      </c>
      <c r="K313" t="s">
        <v>320</v>
      </c>
      <c r="L313" t="s">
        <v>848</v>
      </c>
      <c r="M313" t="s">
        <v>34</v>
      </c>
      <c r="N313" t="s">
        <v>2240</v>
      </c>
      <c r="O313" t="s">
        <v>49</v>
      </c>
      <c r="P313" t="s">
        <v>79</v>
      </c>
      <c r="Q313" t="s">
        <v>2241</v>
      </c>
      <c r="R313">
        <v>9.6639999999999997</v>
      </c>
      <c r="S313">
        <v>2</v>
      </c>
      <c r="T313">
        <v>0.2</v>
      </c>
      <c r="U313">
        <v>3.2616000000000001</v>
      </c>
      <c r="V313">
        <v>6.4024000000000001</v>
      </c>
      <c r="W313">
        <v>7.7312000000000003</v>
      </c>
      <c r="X313">
        <v>0.31238285642883917</v>
      </c>
    </row>
    <row r="314" spans="1:24" x14ac:dyDescent="0.3">
      <c r="A314" t="s">
        <v>2242</v>
      </c>
      <c r="B314" t="s">
        <v>2243</v>
      </c>
      <c r="C314" s="1">
        <v>43059</v>
      </c>
      <c r="D314" s="1">
        <v>43064</v>
      </c>
      <c r="E314" t="s">
        <v>54</v>
      </c>
      <c r="F314" t="s">
        <v>2244</v>
      </c>
      <c r="G314" t="s">
        <v>2245</v>
      </c>
      <c r="H314" t="s">
        <v>43</v>
      </c>
      <c r="I314" t="s">
        <v>30</v>
      </c>
      <c r="J314" t="s">
        <v>261</v>
      </c>
      <c r="K314" t="s">
        <v>262</v>
      </c>
      <c r="L314" t="s">
        <v>459</v>
      </c>
      <c r="M314" t="s">
        <v>147</v>
      </c>
      <c r="N314" t="s">
        <v>2246</v>
      </c>
      <c r="O314" t="s">
        <v>49</v>
      </c>
      <c r="P314" t="s">
        <v>129</v>
      </c>
      <c r="Q314" t="s">
        <v>2247</v>
      </c>
      <c r="R314">
        <v>60.45</v>
      </c>
      <c r="S314">
        <v>3</v>
      </c>
      <c r="T314">
        <v>0</v>
      </c>
      <c r="U314">
        <v>16.3215</v>
      </c>
      <c r="V314">
        <v>44.128500000000003</v>
      </c>
      <c r="W314">
        <v>60.45</v>
      </c>
      <c r="X314">
        <v>6.7983276114075938E-2</v>
      </c>
    </row>
    <row r="315" spans="1:24" x14ac:dyDescent="0.3">
      <c r="A315" t="s">
        <v>2248</v>
      </c>
      <c r="B315" t="s">
        <v>2249</v>
      </c>
      <c r="C315" s="1">
        <v>43411</v>
      </c>
      <c r="D315" s="1">
        <v>43413</v>
      </c>
      <c r="E315" t="s">
        <v>180</v>
      </c>
      <c r="F315" t="s">
        <v>2250</v>
      </c>
      <c r="G315" t="s">
        <v>2251</v>
      </c>
      <c r="H315" t="s">
        <v>43</v>
      </c>
      <c r="I315" t="s">
        <v>30</v>
      </c>
      <c r="J315" t="s">
        <v>44</v>
      </c>
      <c r="K315" t="s">
        <v>45</v>
      </c>
      <c r="L315" t="s">
        <v>46</v>
      </c>
      <c r="M315" t="s">
        <v>47</v>
      </c>
      <c r="N315" t="s">
        <v>2252</v>
      </c>
      <c r="O315" t="s">
        <v>49</v>
      </c>
      <c r="P315" t="s">
        <v>89</v>
      </c>
      <c r="Q315" t="s">
        <v>2253</v>
      </c>
      <c r="R315">
        <v>37.44</v>
      </c>
      <c r="S315">
        <v>4</v>
      </c>
      <c r="T315">
        <v>0.2</v>
      </c>
      <c r="U315">
        <v>11.7</v>
      </c>
      <c r="V315">
        <v>25.74</v>
      </c>
      <c r="W315">
        <v>29.951999999999998</v>
      </c>
      <c r="X315">
        <v>0.15540015540015542</v>
      </c>
    </row>
    <row r="316" spans="1:24" x14ac:dyDescent="0.3">
      <c r="A316" t="s">
        <v>2254</v>
      </c>
      <c r="B316" t="s">
        <v>2255</v>
      </c>
      <c r="C316" s="1">
        <v>43021</v>
      </c>
      <c r="D316" s="1">
        <v>43025</v>
      </c>
      <c r="E316" t="s">
        <v>54</v>
      </c>
      <c r="F316" t="s">
        <v>2256</v>
      </c>
      <c r="G316" t="s">
        <v>2257</v>
      </c>
      <c r="H316" t="s">
        <v>29</v>
      </c>
      <c r="I316" t="s">
        <v>30</v>
      </c>
      <c r="J316" t="s">
        <v>2258</v>
      </c>
      <c r="K316" t="s">
        <v>32</v>
      </c>
      <c r="L316" t="s">
        <v>2259</v>
      </c>
      <c r="M316" t="s">
        <v>34</v>
      </c>
      <c r="N316" t="s">
        <v>2260</v>
      </c>
      <c r="O316" t="s">
        <v>186</v>
      </c>
      <c r="P316" t="s">
        <v>187</v>
      </c>
      <c r="Q316" t="s">
        <v>2261</v>
      </c>
      <c r="R316">
        <v>83.72</v>
      </c>
      <c r="S316">
        <v>7</v>
      </c>
      <c r="T316">
        <v>0</v>
      </c>
      <c r="U316">
        <v>23.441600000000001</v>
      </c>
      <c r="V316">
        <v>60.278399999999998</v>
      </c>
      <c r="W316">
        <v>83.72</v>
      </c>
      <c r="X316">
        <v>0.11612783351913787</v>
      </c>
    </row>
    <row r="317" spans="1:24" x14ac:dyDescent="0.3">
      <c r="A317" t="s">
        <v>2262</v>
      </c>
      <c r="B317" t="s">
        <v>2263</v>
      </c>
      <c r="C317" s="1">
        <v>43466</v>
      </c>
      <c r="D317" s="1">
        <v>43471</v>
      </c>
      <c r="E317" t="s">
        <v>54</v>
      </c>
      <c r="F317" t="s">
        <v>2264</v>
      </c>
      <c r="G317" t="s">
        <v>2265</v>
      </c>
      <c r="H317" t="s">
        <v>29</v>
      </c>
      <c r="I317" t="s">
        <v>30</v>
      </c>
      <c r="J317" t="s">
        <v>2266</v>
      </c>
      <c r="K317" t="s">
        <v>476</v>
      </c>
      <c r="L317" t="s">
        <v>2267</v>
      </c>
      <c r="M317" t="s">
        <v>147</v>
      </c>
      <c r="N317" t="s">
        <v>2268</v>
      </c>
      <c r="O317" t="s">
        <v>36</v>
      </c>
      <c r="P317" t="s">
        <v>69</v>
      </c>
      <c r="Q317" t="s">
        <v>2269</v>
      </c>
      <c r="R317">
        <v>48.896000000000001</v>
      </c>
      <c r="S317">
        <v>4</v>
      </c>
      <c r="T317">
        <v>0.2</v>
      </c>
      <c r="U317">
        <v>8.5568000000000008</v>
      </c>
      <c r="V317">
        <v>40.339199999999998</v>
      </c>
      <c r="W317">
        <v>39.116800000000005</v>
      </c>
      <c r="X317">
        <v>9.9159130572743143E-2</v>
      </c>
    </row>
    <row r="318" spans="1:24" x14ac:dyDescent="0.3">
      <c r="A318" t="s">
        <v>2270</v>
      </c>
      <c r="B318" t="s">
        <v>2271</v>
      </c>
      <c r="C318" s="1">
        <v>42407</v>
      </c>
      <c r="D318" s="1">
        <v>42412</v>
      </c>
      <c r="E318" t="s">
        <v>54</v>
      </c>
      <c r="F318" t="s">
        <v>2272</v>
      </c>
      <c r="G318" t="s">
        <v>2273</v>
      </c>
      <c r="H318" t="s">
        <v>43</v>
      </c>
      <c r="I318" t="s">
        <v>30</v>
      </c>
      <c r="J318" t="s">
        <v>2274</v>
      </c>
      <c r="K318" t="s">
        <v>751</v>
      </c>
      <c r="L318" t="s">
        <v>2275</v>
      </c>
      <c r="M318" t="s">
        <v>147</v>
      </c>
      <c r="N318" t="s">
        <v>2276</v>
      </c>
      <c r="O318" t="s">
        <v>186</v>
      </c>
      <c r="P318" t="s">
        <v>228</v>
      </c>
      <c r="Q318" t="s">
        <v>2277</v>
      </c>
      <c r="R318">
        <v>115.36</v>
      </c>
      <c r="S318">
        <v>7</v>
      </c>
      <c r="T318">
        <v>0</v>
      </c>
      <c r="U318">
        <v>49.604799999999997</v>
      </c>
      <c r="V318">
        <v>65.755200000000002</v>
      </c>
      <c r="W318">
        <v>115.36</v>
      </c>
      <c r="X318">
        <v>0.10645545903593936</v>
      </c>
    </row>
    <row r="319" spans="1:24" x14ac:dyDescent="0.3">
      <c r="A319" t="s">
        <v>2278</v>
      </c>
      <c r="B319" t="s">
        <v>2279</v>
      </c>
      <c r="C319" s="1">
        <v>43271</v>
      </c>
      <c r="D319" s="1">
        <v>43276</v>
      </c>
      <c r="E319" t="s">
        <v>26</v>
      </c>
      <c r="F319" t="s">
        <v>2280</v>
      </c>
      <c r="G319" t="s">
        <v>2281</v>
      </c>
      <c r="H319" t="s">
        <v>43</v>
      </c>
      <c r="I319" t="s">
        <v>30</v>
      </c>
      <c r="J319" t="s">
        <v>2282</v>
      </c>
      <c r="K319" t="s">
        <v>45</v>
      </c>
      <c r="L319" t="s">
        <v>2283</v>
      </c>
      <c r="M319" t="s">
        <v>47</v>
      </c>
      <c r="N319" t="s">
        <v>2284</v>
      </c>
      <c r="O319" t="s">
        <v>49</v>
      </c>
      <c r="P319" t="s">
        <v>129</v>
      </c>
      <c r="Q319" t="s">
        <v>2285</v>
      </c>
      <c r="R319">
        <v>5.16</v>
      </c>
      <c r="S319">
        <v>2</v>
      </c>
      <c r="T319">
        <v>0</v>
      </c>
      <c r="U319">
        <v>1.3415999999999999</v>
      </c>
      <c r="V319">
        <v>3.8184000000000005</v>
      </c>
      <c r="W319">
        <v>5.16</v>
      </c>
      <c r="X319">
        <v>0.52377959354703529</v>
      </c>
    </row>
    <row r="320" spans="1:24" x14ac:dyDescent="0.3">
      <c r="A320" t="s">
        <v>2286</v>
      </c>
      <c r="B320" t="s">
        <v>2287</v>
      </c>
      <c r="C320" s="1">
        <v>42585</v>
      </c>
      <c r="D320" s="1">
        <v>42590</v>
      </c>
      <c r="E320" t="s">
        <v>54</v>
      </c>
      <c r="F320" t="s">
        <v>2288</v>
      </c>
      <c r="G320" t="s">
        <v>2289</v>
      </c>
      <c r="H320" t="s">
        <v>29</v>
      </c>
      <c r="I320" t="s">
        <v>30</v>
      </c>
      <c r="J320" t="s">
        <v>261</v>
      </c>
      <c r="K320" t="s">
        <v>262</v>
      </c>
      <c r="L320" t="s">
        <v>459</v>
      </c>
      <c r="M320" t="s">
        <v>147</v>
      </c>
      <c r="N320" t="s">
        <v>2290</v>
      </c>
      <c r="O320" t="s">
        <v>49</v>
      </c>
      <c r="P320" t="s">
        <v>79</v>
      </c>
      <c r="Q320" t="s">
        <v>2291</v>
      </c>
      <c r="R320">
        <v>39.96</v>
      </c>
      <c r="S320">
        <v>2</v>
      </c>
      <c r="T320">
        <v>0</v>
      </c>
      <c r="U320">
        <v>18.781199999999998</v>
      </c>
      <c r="V320">
        <v>21.178800000000003</v>
      </c>
      <c r="W320">
        <v>39.96</v>
      </c>
      <c r="X320">
        <v>9.4434056698207633E-2</v>
      </c>
    </row>
    <row r="321" spans="1:24" x14ac:dyDescent="0.3">
      <c r="A321" t="s">
        <v>2292</v>
      </c>
      <c r="B321" t="s">
        <v>2293</v>
      </c>
      <c r="C321" s="1">
        <v>43565</v>
      </c>
      <c r="D321" s="1">
        <v>43570</v>
      </c>
      <c r="E321" t="s">
        <v>54</v>
      </c>
      <c r="F321" t="s">
        <v>2294</v>
      </c>
      <c r="G321" t="s">
        <v>2295</v>
      </c>
      <c r="H321" t="s">
        <v>95</v>
      </c>
      <c r="I321" t="s">
        <v>30</v>
      </c>
      <c r="J321" t="s">
        <v>2296</v>
      </c>
      <c r="K321" t="s">
        <v>751</v>
      </c>
      <c r="L321" t="s">
        <v>2297</v>
      </c>
      <c r="M321" t="s">
        <v>147</v>
      </c>
      <c r="N321" t="s">
        <v>889</v>
      </c>
      <c r="O321" t="s">
        <v>49</v>
      </c>
      <c r="P321" t="s">
        <v>79</v>
      </c>
      <c r="Q321" t="s">
        <v>890</v>
      </c>
      <c r="R321">
        <v>7.61</v>
      </c>
      <c r="S321">
        <v>1</v>
      </c>
      <c r="T321">
        <v>0</v>
      </c>
      <c r="U321">
        <v>3.5767000000000002</v>
      </c>
      <c r="V321">
        <v>4.0333000000000006</v>
      </c>
      <c r="W321">
        <v>7.61</v>
      </c>
      <c r="X321">
        <v>0.24793593335482109</v>
      </c>
    </row>
    <row r="322" spans="1:24" x14ac:dyDescent="0.3">
      <c r="A322" t="s">
        <v>2298</v>
      </c>
      <c r="B322" t="s">
        <v>2299</v>
      </c>
      <c r="C322" s="1">
        <v>42530</v>
      </c>
      <c r="D322" s="1">
        <v>42537</v>
      </c>
      <c r="E322" t="s">
        <v>54</v>
      </c>
      <c r="F322" t="s">
        <v>2300</v>
      </c>
      <c r="G322" t="s">
        <v>2301</v>
      </c>
      <c r="H322" t="s">
        <v>29</v>
      </c>
      <c r="I322" t="s">
        <v>30</v>
      </c>
      <c r="J322" t="s">
        <v>126</v>
      </c>
      <c r="K322" t="s">
        <v>45</v>
      </c>
      <c r="L322" t="s">
        <v>343</v>
      </c>
      <c r="M322" t="s">
        <v>47</v>
      </c>
      <c r="N322" t="s">
        <v>2302</v>
      </c>
      <c r="O322" t="s">
        <v>49</v>
      </c>
      <c r="P322" t="s">
        <v>1705</v>
      </c>
      <c r="Q322" t="s">
        <v>2303</v>
      </c>
      <c r="R322">
        <v>7.36</v>
      </c>
      <c r="S322">
        <v>2</v>
      </c>
      <c r="T322">
        <v>0</v>
      </c>
      <c r="U322">
        <v>0.1472</v>
      </c>
      <c r="V322">
        <v>7.2128000000000005</v>
      </c>
      <c r="W322">
        <v>7.36</v>
      </c>
      <c r="X322">
        <v>0.27728482697426793</v>
      </c>
    </row>
    <row r="323" spans="1:24" x14ac:dyDescent="0.3">
      <c r="A323" t="s">
        <v>2304</v>
      </c>
      <c r="B323" t="s">
        <v>2305</v>
      </c>
      <c r="C323" s="1">
        <v>42379</v>
      </c>
      <c r="D323" s="1">
        <v>42384</v>
      </c>
      <c r="E323" t="s">
        <v>54</v>
      </c>
      <c r="F323" t="s">
        <v>2306</v>
      </c>
      <c r="G323" t="s">
        <v>2307</v>
      </c>
      <c r="H323" t="s">
        <v>43</v>
      </c>
      <c r="I323" t="s">
        <v>30</v>
      </c>
      <c r="J323" t="s">
        <v>303</v>
      </c>
      <c r="K323" t="s">
        <v>304</v>
      </c>
      <c r="L323" t="s">
        <v>305</v>
      </c>
      <c r="M323" t="s">
        <v>34</v>
      </c>
      <c r="N323" t="s">
        <v>2308</v>
      </c>
      <c r="O323" t="s">
        <v>49</v>
      </c>
      <c r="P323" t="s">
        <v>50</v>
      </c>
      <c r="Q323" t="s">
        <v>2309</v>
      </c>
      <c r="R323">
        <v>2.89</v>
      </c>
      <c r="S323">
        <v>1</v>
      </c>
      <c r="T323">
        <v>0</v>
      </c>
      <c r="U323">
        <v>1.3583000000000001</v>
      </c>
      <c r="V323">
        <v>1.5317000000000001</v>
      </c>
      <c r="W323">
        <v>2.89</v>
      </c>
      <c r="X323">
        <v>0.65286936084089575</v>
      </c>
    </row>
    <row r="324" spans="1:24" x14ac:dyDescent="0.3">
      <c r="A324" t="s">
        <v>2310</v>
      </c>
      <c r="B324" t="s">
        <v>2311</v>
      </c>
      <c r="C324" s="1">
        <v>43372</v>
      </c>
      <c r="D324" s="1">
        <v>43375</v>
      </c>
      <c r="E324" t="s">
        <v>180</v>
      </c>
      <c r="F324" t="s">
        <v>2312</v>
      </c>
      <c r="G324" t="s">
        <v>2313</v>
      </c>
      <c r="H324" t="s">
        <v>43</v>
      </c>
      <c r="I324" t="s">
        <v>30</v>
      </c>
      <c r="J324" t="s">
        <v>144</v>
      </c>
      <c r="K324" t="s">
        <v>145</v>
      </c>
      <c r="L324" t="s">
        <v>146</v>
      </c>
      <c r="M324" t="s">
        <v>147</v>
      </c>
      <c r="N324" t="s">
        <v>2314</v>
      </c>
      <c r="O324" t="s">
        <v>49</v>
      </c>
      <c r="P324" t="s">
        <v>50</v>
      </c>
      <c r="Q324" t="s">
        <v>2315</v>
      </c>
      <c r="R324">
        <v>15.936</v>
      </c>
      <c r="S324">
        <v>4</v>
      </c>
      <c r="T324">
        <v>0.2</v>
      </c>
      <c r="U324">
        <v>5.1791999999999998</v>
      </c>
      <c r="V324">
        <v>10.7568</v>
      </c>
      <c r="W324">
        <v>12.748800000000001</v>
      </c>
      <c r="X324">
        <v>0.37185780157667708</v>
      </c>
    </row>
    <row r="325" spans="1:24" x14ac:dyDescent="0.3">
      <c r="A325" t="s">
        <v>2316</v>
      </c>
      <c r="B325" t="s">
        <v>2317</v>
      </c>
      <c r="C325" s="1">
        <v>42466</v>
      </c>
      <c r="D325" s="1">
        <v>42470</v>
      </c>
      <c r="E325" t="s">
        <v>54</v>
      </c>
      <c r="F325" t="s">
        <v>2318</v>
      </c>
      <c r="G325" t="s">
        <v>2319</v>
      </c>
      <c r="H325" t="s">
        <v>43</v>
      </c>
      <c r="I325" t="s">
        <v>30</v>
      </c>
      <c r="J325" t="s">
        <v>2157</v>
      </c>
      <c r="K325" t="s">
        <v>145</v>
      </c>
      <c r="L325" t="s">
        <v>2320</v>
      </c>
      <c r="M325" t="s">
        <v>147</v>
      </c>
      <c r="N325" t="s">
        <v>2321</v>
      </c>
      <c r="O325" t="s">
        <v>49</v>
      </c>
      <c r="P325" t="s">
        <v>89</v>
      </c>
      <c r="Q325" t="s">
        <v>2322</v>
      </c>
      <c r="R325">
        <v>44.91</v>
      </c>
      <c r="S325">
        <v>6</v>
      </c>
      <c r="T325">
        <v>0.7</v>
      </c>
      <c r="U325">
        <v>-35.927999999999997</v>
      </c>
      <c r="V325">
        <v>80.837999999999994</v>
      </c>
      <c r="W325">
        <v>13.473000000000001</v>
      </c>
      <c r="X325">
        <v>7.4222519112298671E-2</v>
      </c>
    </row>
    <row r="326" spans="1:24" x14ac:dyDescent="0.3">
      <c r="A326" t="s">
        <v>2323</v>
      </c>
      <c r="B326" t="s">
        <v>2324</v>
      </c>
      <c r="C326" s="1">
        <v>43346</v>
      </c>
      <c r="D326" s="1">
        <v>43348</v>
      </c>
      <c r="E326" t="s">
        <v>180</v>
      </c>
      <c r="F326" t="s">
        <v>2325</v>
      </c>
      <c r="G326" t="s">
        <v>2326</v>
      </c>
      <c r="H326" t="s">
        <v>95</v>
      </c>
      <c r="I326" t="s">
        <v>30</v>
      </c>
      <c r="J326" t="s">
        <v>144</v>
      </c>
      <c r="K326" t="s">
        <v>145</v>
      </c>
      <c r="L326" t="s">
        <v>1052</v>
      </c>
      <c r="M326" t="s">
        <v>147</v>
      </c>
      <c r="N326" t="s">
        <v>2327</v>
      </c>
      <c r="O326" t="s">
        <v>49</v>
      </c>
      <c r="P326" t="s">
        <v>89</v>
      </c>
      <c r="Q326" t="s">
        <v>2328</v>
      </c>
      <c r="R326">
        <v>1141.47</v>
      </c>
      <c r="S326">
        <v>5</v>
      </c>
      <c r="T326">
        <v>0.7</v>
      </c>
      <c r="U326">
        <v>-760.98</v>
      </c>
      <c r="V326">
        <v>1902.45</v>
      </c>
      <c r="W326">
        <v>342.44100000000003</v>
      </c>
      <c r="X326">
        <v>2.6281899655707115E-3</v>
      </c>
    </row>
    <row r="327" spans="1:24" x14ac:dyDescent="0.3">
      <c r="A327" t="s">
        <v>2329</v>
      </c>
      <c r="B327" t="s">
        <v>2330</v>
      </c>
      <c r="C327" s="1">
        <v>42714</v>
      </c>
      <c r="D327" s="1">
        <v>42719</v>
      </c>
      <c r="E327" t="s">
        <v>54</v>
      </c>
      <c r="F327" t="s">
        <v>2331</v>
      </c>
      <c r="G327" t="s">
        <v>2332</v>
      </c>
      <c r="H327" t="s">
        <v>29</v>
      </c>
      <c r="I327" t="s">
        <v>30</v>
      </c>
      <c r="J327" t="s">
        <v>261</v>
      </c>
      <c r="K327" t="s">
        <v>262</v>
      </c>
      <c r="L327" t="s">
        <v>312</v>
      </c>
      <c r="M327" t="s">
        <v>147</v>
      </c>
      <c r="N327" t="s">
        <v>2333</v>
      </c>
      <c r="O327" t="s">
        <v>49</v>
      </c>
      <c r="P327" t="s">
        <v>79</v>
      </c>
      <c r="Q327" t="s">
        <v>2334</v>
      </c>
      <c r="R327">
        <v>11.36</v>
      </c>
      <c r="S327">
        <v>2</v>
      </c>
      <c r="T327">
        <v>0</v>
      </c>
      <c r="U327">
        <v>5.2256</v>
      </c>
      <c r="V327">
        <v>6.1343999999999994</v>
      </c>
      <c r="W327">
        <v>11.36</v>
      </c>
      <c r="X327">
        <v>0.32603025560772042</v>
      </c>
    </row>
    <row r="328" spans="1:24" x14ac:dyDescent="0.3">
      <c r="A328" t="s">
        <v>2335</v>
      </c>
      <c r="B328" t="s">
        <v>2336</v>
      </c>
      <c r="C328" s="1">
        <v>42630</v>
      </c>
      <c r="D328" s="1">
        <v>42634</v>
      </c>
      <c r="E328" t="s">
        <v>54</v>
      </c>
      <c r="F328" t="s">
        <v>2337</v>
      </c>
      <c r="G328" t="s">
        <v>2338</v>
      </c>
      <c r="H328" t="s">
        <v>95</v>
      </c>
      <c r="I328" t="s">
        <v>30</v>
      </c>
      <c r="J328" t="s">
        <v>144</v>
      </c>
      <c r="K328" t="s">
        <v>145</v>
      </c>
      <c r="L328" t="s">
        <v>759</v>
      </c>
      <c r="M328" t="s">
        <v>147</v>
      </c>
      <c r="N328" t="s">
        <v>2339</v>
      </c>
      <c r="O328" t="s">
        <v>49</v>
      </c>
      <c r="P328" t="s">
        <v>89</v>
      </c>
      <c r="Q328" t="s">
        <v>2340</v>
      </c>
      <c r="R328">
        <v>5.8920000000000003</v>
      </c>
      <c r="S328">
        <v>4</v>
      </c>
      <c r="T328">
        <v>0.7</v>
      </c>
      <c r="U328">
        <v>-4.1243999999999996</v>
      </c>
      <c r="V328">
        <v>10.016400000000001</v>
      </c>
      <c r="W328">
        <v>1.7676000000000003</v>
      </c>
      <c r="X328">
        <v>0.39934507407851122</v>
      </c>
    </row>
    <row r="329" spans="1:24" x14ac:dyDescent="0.3">
      <c r="A329" t="s">
        <v>2341</v>
      </c>
      <c r="B329" t="s">
        <v>2342</v>
      </c>
      <c r="C329" s="1">
        <v>43395</v>
      </c>
      <c r="D329" s="1">
        <v>43397</v>
      </c>
      <c r="E329" t="s">
        <v>180</v>
      </c>
      <c r="F329" t="s">
        <v>2343</v>
      </c>
      <c r="G329" t="s">
        <v>2344</v>
      </c>
      <c r="H329" t="s">
        <v>95</v>
      </c>
      <c r="I329" t="s">
        <v>30</v>
      </c>
      <c r="J329" t="s">
        <v>839</v>
      </c>
      <c r="K329" t="s">
        <v>235</v>
      </c>
      <c r="L329" t="s">
        <v>840</v>
      </c>
      <c r="M329" t="s">
        <v>99</v>
      </c>
      <c r="N329" t="s">
        <v>1841</v>
      </c>
      <c r="O329" t="s">
        <v>36</v>
      </c>
      <c r="P329" t="s">
        <v>69</v>
      </c>
      <c r="Q329" t="s">
        <v>1842</v>
      </c>
      <c r="R329">
        <v>31.4</v>
      </c>
      <c r="S329">
        <v>5</v>
      </c>
      <c r="T329">
        <v>0</v>
      </c>
      <c r="U329">
        <v>10.048</v>
      </c>
      <c r="V329">
        <v>21.351999999999997</v>
      </c>
      <c r="W329">
        <v>31.4</v>
      </c>
      <c r="X329">
        <v>0.23417010116148373</v>
      </c>
    </row>
    <row r="330" spans="1:24" x14ac:dyDescent="0.3">
      <c r="A330" t="s">
        <v>2345</v>
      </c>
      <c r="B330" t="s">
        <v>2346</v>
      </c>
      <c r="C330" s="1">
        <v>42489</v>
      </c>
      <c r="D330" s="1">
        <v>42494</v>
      </c>
      <c r="E330" t="s">
        <v>54</v>
      </c>
      <c r="F330" t="s">
        <v>2347</v>
      </c>
      <c r="G330" t="s">
        <v>2348</v>
      </c>
      <c r="H330" t="s">
        <v>29</v>
      </c>
      <c r="I330" t="s">
        <v>30</v>
      </c>
      <c r="J330" t="s">
        <v>365</v>
      </c>
      <c r="K330" t="s">
        <v>262</v>
      </c>
      <c r="L330" t="s">
        <v>1477</v>
      </c>
      <c r="M330" t="s">
        <v>147</v>
      </c>
      <c r="N330" t="s">
        <v>2349</v>
      </c>
      <c r="O330" t="s">
        <v>36</v>
      </c>
      <c r="P330" t="s">
        <v>69</v>
      </c>
      <c r="Q330" t="s">
        <v>2350</v>
      </c>
      <c r="R330">
        <v>17.46</v>
      </c>
      <c r="S330">
        <v>2</v>
      </c>
      <c r="T330">
        <v>0</v>
      </c>
      <c r="U330">
        <v>5.9363999999999999</v>
      </c>
      <c r="V330">
        <v>11.523600000000002</v>
      </c>
      <c r="W330">
        <v>17.46</v>
      </c>
      <c r="X330">
        <v>0.17355687458780239</v>
      </c>
    </row>
    <row r="331" spans="1:24" x14ac:dyDescent="0.3">
      <c r="A331" t="s">
        <v>2351</v>
      </c>
      <c r="B331" t="s">
        <v>2352</v>
      </c>
      <c r="C331" s="1">
        <v>42850</v>
      </c>
      <c r="D331" s="1">
        <v>42853</v>
      </c>
      <c r="E331" t="s">
        <v>26</v>
      </c>
      <c r="F331" t="s">
        <v>2353</v>
      </c>
      <c r="G331" t="s">
        <v>2354</v>
      </c>
      <c r="H331" t="s">
        <v>43</v>
      </c>
      <c r="I331" t="s">
        <v>30</v>
      </c>
      <c r="J331" t="s">
        <v>44</v>
      </c>
      <c r="K331" t="s">
        <v>45</v>
      </c>
      <c r="L331" t="s">
        <v>627</v>
      </c>
      <c r="M331" t="s">
        <v>47</v>
      </c>
      <c r="N331" t="s">
        <v>2355</v>
      </c>
      <c r="O331" t="s">
        <v>49</v>
      </c>
      <c r="P331" t="s">
        <v>89</v>
      </c>
      <c r="Q331" t="s">
        <v>2356</v>
      </c>
      <c r="R331">
        <v>13.944000000000001</v>
      </c>
      <c r="S331">
        <v>3</v>
      </c>
      <c r="T331">
        <v>0.2</v>
      </c>
      <c r="U331">
        <v>4.5317999999999996</v>
      </c>
      <c r="V331">
        <v>9.4122000000000021</v>
      </c>
      <c r="W331">
        <v>11.155200000000001</v>
      </c>
      <c r="X331">
        <v>0.31873525849429457</v>
      </c>
    </row>
    <row r="332" spans="1:24" x14ac:dyDescent="0.3">
      <c r="A332" t="s">
        <v>2357</v>
      </c>
      <c r="B332" t="s">
        <v>2358</v>
      </c>
      <c r="C332" s="1">
        <v>43752</v>
      </c>
      <c r="D332" s="1">
        <v>43757</v>
      </c>
      <c r="E332" t="s">
        <v>54</v>
      </c>
      <c r="F332" t="s">
        <v>2359</v>
      </c>
      <c r="G332" t="s">
        <v>2360</v>
      </c>
      <c r="H332" t="s">
        <v>95</v>
      </c>
      <c r="I332" t="s">
        <v>30</v>
      </c>
      <c r="J332" t="s">
        <v>847</v>
      </c>
      <c r="K332" t="s">
        <v>2361</v>
      </c>
      <c r="L332" t="s">
        <v>2362</v>
      </c>
      <c r="M332" t="s">
        <v>147</v>
      </c>
      <c r="N332" t="s">
        <v>2363</v>
      </c>
      <c r="O332" t="s">
        <v>49</v>
      </c>
      <c r="P332" t="s">
        <v>89</v>
      </c>
      <c r="Q332" t="s">
        <v>2364</v>
      </c>
      <c r="R332">
        <v>37.659999999999997</v>
      </c>
      <c r="S332">
        <v>7</v>
      </c>
      <c r="T332">
        <v>0</v>
      </c>
      <c r="U332">
        <v>18.453399999999998</v>
      </c>
      <c r="V332">
        <v>19.206599999999998</v>
      </c>
      <c r="W332">
        <v>37.659999999999997</v>
      </c>
      <c r="X332">
        <v>0.36445805087834393</v>
      </c>
    </row>
    <row r="333" spans="1:24" x14ac:dyDescent="0.3">
      <c r="A333" t="s">
        <v>2365</v>
      </c>
      <c r="B333" t="s">
        <v>2366</v>
      </c>
      <c r="C333" s="1">
        <v>43414</v>
      </c>
      <c r="D333" s="1">
        <v>43416</v>
      </c>
      <c r="E333" t="s">
        <v>180</v>
      </c>
      <c r="F333" t="s">
        <v>2367</v>
      </c>
      <c r="G333" t="s">
        <v>2368</v>
      </c>
      <c r="H333" t="s">
        <v>43</v>
      </c>
      <c r="I333" t="s">
        <v>30</v>
      </c>
      <c r="J333" t="s">
        <v>126</v>
      </c>
      <c r="K333" t="s">
        <v>45</v>
      </c>
      <c r="L333" t="s">
        <v>343</v>
      </c>
      <c r="M333" t="s">
        <v>47</v>
      </c>
      <c r="N333" t="s">
        <v>2369</v>
      </c>
      <c r="O333" t="s">
        <v>49</v>
      </c>
      <c r="P333" t="s">
        <v>111</v>
      </c>
      <c r="Q333" t="s">
        <v>2370</v>
      </c>
      <c r="R333">
        <v>155.82</v>
      </c>
      <c r="S333">
        <v>7</v>
      </c>
      <c r="T333">
        <v>0</v>
      </c>
      <c r="U333">
        <v>42.071399999999997</v>
      </c>
      <c r="V333">
        <v>113.7486</v>
      </c>
      <c r="W333">
        <v>155.82</v>
      </c>
      <c r="X333">
        <v>6.1539218944233164E-2</v>
      </c>
    </row>
    <row r="334" spans="1:24" x14ac:dyDescent="0.3">
      <c r="A334" t="s">
        <v>2371</v>
      </c>
      <c r="B334" t="s">
        <v>2372</v>
      </c>
      <c r="C334" s="1">
        <v>43376</v>
      </c>
      <c r="D334" s="1">
        <v>43379</v>
      </c>
      <c r="E334" t="s">
        <v>26</v>
      </c>
      <c r="F334" t="s">
        <v>2373</v>
      </c>
      <c r="G334" t="s">
        <v>2374</v>
      </c>
      <c r="H334" t="s">
        <v>29</v>
      </c>
      <c r="I334" t="s">
        <v>30</v>
      </c>
      <c r="J334" t="s">
        <v>174</v>
      </c>
      <c r="K334" t="s">
        <v>97</v>
      </c>
      <c r="L334" t="s">
        <v>175</v>
      </c>
      <c r="M334" t="s">
        <v>99</v>
      </c>
      <c r="N334" t="s">
        <v>2375</v>
      </c>
      <c r="O334" t="s">
        <v>49</v>
      </c>
      <c r="P334" t="s">
        <v>195</v>
      </c>
      <c r="Q334" t="s">
        <v>645</v>
      </c>
      <c r="R334">
        <v>15.648</v>
      </c>
      <c r="S334">
        <v>2</v>
      </c>
      <c r="T334">
        <v>0.2</v>
      </c>
      <c r="U334">
        <v>5.0856000000000003</v>
      </c>
      <c r="V334">
        <v>10.5624</v>
      </c>
      <c r="W334">
        <v>12.5184</v>
      </c>
      <c r="X334">
        <v>0.18935090509732636</v>
      </c>
    </row>
    <row r="335" spans="1:24" x14ac:dyDescent="0.3">
      <c r="A335" t="s">
        <v>2376</v>
      </c>
      <c r="B335" t="s">
        <v>2377</v>
      </c>
      <c r="C335" s="1">
        <v>42622</v>
      </c>
      <c r="D335" s="1">
        <v>42628</v>
      </c>
      <c r="E335" t="s">
        <v>54</v>
      </c>
      <c r="F335" t="s">
        <v>2378</v>
      </c>
      <c r="G335" t="s">
        <v>2379</v>
      </c>
      <c r="H335" t="s">
        <v>29</v>
      </c>
      <c r="I335" t="s">
        <v>30</v>
      </c>
      <c r="J335" t="s">
        <v>839</v>
      </c>
      <c r="K335" t="s">
        <v>235</v>
      </c>
      <c r="L335" t="s">
        <v>840</v>
      </c>
      <c r="M335" t="s">
        <v>99</v>
      </c>
      <c r="N335" t="s">
        <v>1457</v>
      </c>
      <c r="O335" t="s">
        <v>49</v>
      </c>
      <c r="P335" t="s">
        <v>50</v>
      </c>
      <c r="Q335" t="s">
        <v>1458</v>
      </c>
      <c r="R335">
        <v>103.6</v>
      </c>
      <c r="S335">
        <v>7</v>
      </c>
      <c r="T335">
        <v>0</v>
      </c>
      <c r="U335">
        <v>51.8</v>
      </c>
      <c r="V335">
        <v>51.8</v>
      </c>
      <c r="W335">
        <v>103.6</v>
      </c>
      <c r="X335">
        <v>0.13513513513513514</v>
      </c>
    </row>
    <row r="336" spans="1:24" x14ac:dyDescent="0.3">
      <c r="A336" t="s">
        <v>2380</v>
      </c>
      <c r="B336" t="s">
        <v>2381</v>
      </c>
      <c r="C336" s="1">
        <v>43767</v>
      </c>
      <c r="D336" s="1">
        <v>43769</v>
      </c>
      <c r="E336" t="s">
        <v>26</v>
      </c>
      <c r="F336" t="s">
        <v>2382</v>
      </c>
      <c r="G336" t="s">
        <v>2383</v>
      </c>
      <c r="H336" t="s">
        <v>43</v>
      </c>
      <c r="I336" t="s">
        <v>30</v>
      </c>
      <c r="J336" t="s">
        <v>1387</v>
      </c>
      <c r="K336" t="s">
        <v>262</v>
      </c>
      <c r="L336" t="s">
        <v>1388</v>
      </c>
      <c r="M336" t="s">
        <v>147</v>
      </c>
      <c r="N336" t="s">
        <v>2384</v>
      </c>
      <c r="O336" t="s">
        <v>49</v>
      </c>
      <c r="P336" t="s">
        <v>79</v>
      </c>
      <c r="Q336" t="s">
        <v>2385</v>
      </c>
      <c r="R336">
        <v>46.96</v>
      </c>
      <c r="S336">
        <v>8</v>
      </c>
      <c r="T336">
        <v>0</v>
      </c>
      <c r="U336">
        <v>22.540800000000001</v>
      </c>
      <c r="V336">
        <v>24.4192</v>
      </c>
      <c r="W336">
        <v>46.96</v>
      </c>
      <c r="X336">
        <v>0.32761106014939062</v>
      </c>
    </row>
    <row r="337" spans="1:24" x14ac:dyDescent="0.3">
      <c r="A337" t="s">
        <v>2386</v>
      </c>
      <c r="B337" t="s">
        <v>2387</v>
      </c>
      <c r="C337" s="1">
        <v>43200</v>
      </c>
      <c r="D337" s="1">
        <v>43202</v>
      </c>
      <c r="E337" t="s">
        <v>180</v>
      </c>
      <c r="F337" t="s">
        <v>2388</v>
      </c>
      <c r="G337" t="s">
        <v>2389</v>
      </c>
      <c r="H337" t="s">
        <v>43</v>
      </c>
      <c r="I337" t="s">
        <v>30</v>
      </c>
      <c r="J337" t="s">
        <v>303</v>
      </c>
      <c r="K337" t="s">
        <v>476</v>
      </c>
      <c r="L337" t="s">
        <v>1613</v>
      </c>
      <c r="M337" t="s">
        <v>147</v>
      </c>
      <c r="N337" t="s">
        <v>2390</v>
      </c>
      <c r="O337" t="s">
        <v>49</v>
      </c>
      <c r="P337" t="s">
        <v>89</v>
      </c>
      <c r="Q337" t="s">
        <v>2391</v>
      </c>
      <c r="R337">
        <v>8.9039999999999999</v>
      </c>
      <c r="S337">
        <v>2</v>
      </c>
      <c r="T337">
        <v>0.7</v>
      </c>
      <c r="U337">
        <v>-6.5296000000000003</v>
      </c>
      <c r="V337">
        <v>15.4336</v>
      </c>
      <c r="W337">
        <v>2.6712000000000002</v>
      </c>
      <c r="X337">
        <v>0.12958739373833714</v>
      </c>
    </row>
    <row r="338" spans="1:24" x14ac:dyDescent="0.3">
      <c r="A338" t="s">
        <v>2392</v>
      </c>
      <c r="B338" t="s">
        <v>2393</v>
      </c>
      <c r="C338" s="1">
        <v>43710</v>
      </c>
      <c r="D338" s="1">
        <v>43715</v>
      </c>
      <c r="E338" t="s">
        <v>54</v>
      </c>
      <c r="F338" t="s">
        <v>2394</v>
      </c>
      <c r="G338" t="s">
        <v>2395</v>
      </c>
      <c r="H338" t="s">
        <v>95</v>
      </c>
      <c r="I338" t="s">
        <v>30</v>
      </c>
      <c r="J338" t="s">
        <v>1328</v>
      </c>
      <c r="K338" t="s">
        <v>235</v>
      </c>
      <c r="L338" t="s">
        <v>2396</v>
      </c>
      <c r="M338" t="s">
        <v>99</v>
      </c>
      <c r="N338" t="s">
        <v>2397</v>
      </c>
      <c r="O338" t="s">
        <v>186</v>
      </c>
      <c r="P338" t="s">
        <v>187</v>
      </c>
      <c r="Q338" t="s">
        <v>2398</v>
      </c>
      <c r="R338">
        <v>1199.8</v>
      </c>
      <c r="S338">
        <v>4</v>
      </c>
      <c r="T338">
        <v>0</v>
      </c>
      <c r="U338">
        <v>323.94600000000003</v>
      </c>
      <c r="V338">
        <v>875.85399999999993</v>
      </c>
      <c r="W338">
        <v>1199.8</v>
      </c>
      <c r="X338">
        <v>4.5669712075300222E-3</v>
      </c>
    </row>
    <row r="339" spans="1:24" x14ac:dyDescent="0.3">
      <c r="A339" t="s">
        <v>2399</v>
      </c>
      <c r="B339" t="s">
        <v>2400</v>
      </c>
      <c r="C339" s="1">
        <v>42886</v>
      </c>
      <c r="D339" s="1">
        <v>42893</v>
      </c>
      <c r="E339" t="s">
        <v>54</v>
      </c>
      <c r="F339" t="s">
        <v>2401</v>
      </c>
      <c r="G339" t="s">
        <v>2402</v>
      </c>
      <c r="H339" t="s">
        <v>95</v>
      </c>
      <c r="I339" t="s">
        <v>30</v>
      </c>
      <c r="J339" t="s">
        <v>2403</v>
      </c>
      <c r="K339" t="s">
        <v>706</v>
      </c>
      <c r="L339" t="s">
        <v>2404</v>
      </c>
      <c r="M339" t="s">
        <v>147</v>
      </c>
      <c r="N339" t="s">
        <v>1871</v>
      </c>
      <c r="O339" t="s">
        <v>36</v>
      </c>
      <c r="P339" t="s">
        <v>69</v>
      </c>
      <c r="Q339" t="s">
        <v>1872</v>
      </c>
      <c r="R339">
        <v>22.2</v>
      </c>
      <c r="S339">
        <v>6</v>
      </c>
      <c r="T339">
        <v>0</v>
      </c>
      <c r="U339">
        <v>9.1020000000000003</v>
      </c>
      <c r="V339">
        <v>13.097999999999999</v>
      </c>
      <c r="W339">
        <v>22.2</v>
      </c>
      <c r="X339">
        <v>0.45808520384791573</v>
      </c>
    </row>
    <row r="340" spans="1:24" x14ac:dyDescent="0.3">
      <c r="A340" t="s">
        <v>2405</v>
      </c>
      <c r="B340" t="s">
        <v>2406</v>
      </c>
      <c r="C340" s="1">
        <v>43164</v>
      </c>
      <c r="D340" s="1">
        <v>43170</v>
      </c>
      <c r="E340" t="s">
        <v>54</v>
      </c>
      <c r="F340" t="s">
        <v>2407</v>
      </c>
      <c r="G340" t="s">
        <v>2408</v>
      </c>
      <c r="H340" t="s">
        <v>43</v>
      </c>
      <c r="I340" t="s">
        <v>30</v>
      </c>
      <c r="J340" t="s">
        <v>782</v>
      </c>
      <c r="K340" t="s">
        <v>97</v>
      </c>
      <c r="L340" t="s">
        <v>783</v>
      </c>
      <c r="M340" t="s">
        <v>99</v>
      </c>
      <c r="N340" t="s">
        <v>2409</v>
      </c>
      <c r="O340" t="s">
        <v>49</v>
      </c>
      <c r="P340" t="s">
        <v>195</v>
      </c>
      <c r="Q340" t="s">
        <v>2410</v>
      </c>
      <c r="R340">
        <v>149.352</v>
      </c>
      <c r="S340">
        <v>3</v>
      </c>
      <c r="T340">
        <v>0.2</v>
      </c>
      <c r="U340">
        <v>50.406300000000002</v>
      </c>
      <c r="V340">
        <v>98.945700000000002</v>
      </c>
      <c r="W340">
        <v>119.48160000000001</v>
      </c>
      <c r="X340">
        <v>3.0319660177248731E-2</v>
      </c>
    </row>
    <row r="341" spans="1:24" x14ac:dyDescent="0.3">
      <c r="A341" t="s">
        <v>2411</v>
      </c>
      <c r="B341" t="s">
        <v>2412</v>
      </c>
      <c r="C341" s="1">
        <v>42836</v>
      </c>
      <c r="D341" s="1">
        <v>42840</v>
      </c>
      <c r="E341" t="s">
        <v>54</v>
      </c>
      <c r="F341" t="s">
        <v>2413</v>
      </c>
      <c r="G341" t="s">
        <v>2414</v>
      </c>
      <c r="H341" t="s">
        <v>29</v>
      </c>
      <c r="I341" t="s">
        <v>30</v>
      </c>
      <c r="J341" t="s">
        <v>261</v>
      </c>
      <c r="K341" t="s">
        <v>262</v>
      </c>
      <c r="L341" t="s">
        <v>312</v>
      </c>
      <c r="M341" t="s">
        <v>147</v>
      </c>
      <c r="N341" t="s">
        <v>2415</v>
      </c>
      <c r="O341" t="s">
        <v>186</v>
      </c>
      <c r="P341" t="s">
        <v>228</v>
      </c>
      <c r="Q341" t="s">
        <v>2416</v>
      </c>
      <c r="R341">
        <v>85.14</v>
      </c>
      <c r="S341">
        <v>3</v>
      </c>
      <c r="T341">
        <v>0</v>
      </c>
      <c r="U341">
        <v>34.907400000000003</v>
      </c>
      <c r="V341">
        <v>50.232599999999998</v>
      </c>
      <c r="W341">
        <v>85.14</v>
      </c>
      <c r="X341">
        <v>5.9722172453745177E-2</v>
      </c>
    </row>
    <row r="342" spans="1:24" x14ac:dyDescent="0.3">
      <c r="A342" t="s">
        <v>2417</v>
      </c>
      <c r="B342" t="s">
        <v>2418</v>
      </c>
      <c r="C342" s="1">
        <v>43358</v>
      </c>
      <c r="D342" s="1">
        <v>43363</v>
      </c>
      <c r="E342" t="s">
        <v>54</v>
      </c>
      <c r="F342" t="s">
        <v>2419</v>
      </c>
      <c r="G342" t="s">
        <v>2420</v>
      </c>
      <c r="H342" t="s">
        <v>43</v>
      </c>
      <c r="I342" t="s">
        <v>30</v>
      </c>
      <c r="J342" t="s">
        <v>261</v>
      </c>
      <c r="K342" t="s">
        <v>262</v>
      </c>
      <c r="L342" t="s">
        <v>1788</v>
      </c>
      <c r="M342" t="s">
        <v>147</v>
      </c>
      <c r="N342" t="s">
        <v>492</v>
      </c>
      <c r="O342" t="s">
        <v>49</v>
      </c>
      <c r="P342" t="s">
        <v>89</v>
      </c>
      <c r="Q342" t="s">
        <v>493</v>
      </c>
      <c r="R342">
        <v>841.56799999999998</v>
      </c>
      <c r="S342">
        <v>2</v>
      </c>
      <c r="T342">
        <v>0.2</v>
      </c>
      <c r="U342">
        <v>294.54880000000003</v>
      </c>
      <c r="V342">
        <v>547.01919999999996</v>
      </c>
      <c r="W342">
        <v>673.25440000000003</v>
      </c>
      <c r="X342">
        <v>3.65617879591795E-3</v>
      </c>
    </row>
    <row r="343" spans="1:24" x14ac:dyDescent="0.3">
      <c r="A343" t="s">
        <v>2421</v>
      </c>
      <c r="B343" t="s">
        <v>2422</v>
      </c>
      <c r="C343" s="1">
        <v>42626</v>
      </c>
      <c r="D343" s="1">
        <v>42629</v>
      </c>
      <c r="E343" t="s">
        <v>180</v>
      </c>
      <c r="F343" t="s">
        <v>2423</v>
      </c>
      <c r="G343" t="s">
        <v>2424</v>
      </c>
      <c r="H343" t="s">
        <v>29</v>
      </c>
      <c r="I343" t="s">
        <v>30</v>
      </c>
      <c r="J343" t="s">
        <v>144</v>
      </c>
      <c r="K343" t="s">
        <v>145</v>
      </c>
      <c r="L343" t="s">
        <v>1052</v>
      </c>
      <c r="M343" t="s">
        <v>147</v>
      </c>
      <c r="N343" t="s">
        <v>2425</v>
      </c>
      <c r="O343" t="s">
        <v>49</v>
      </c>
      <c r="P343" t="s">
        <v>79</v>
      </c>
      <c r="Q343" t="s">
        <v>2426</v>
      </c>
      <c r="R343">
        <v>15.552</v>
      </c>
      <c r="S343">
        <v>3</v>
      </c>
      <c r="T343">
        <v>0.2</v>
      </c>
      <c r="U343">
        <v>5.4432</v>
      </c>
      <c r="V343">
        <v>10.108799999999999</v>
      </c>
      <c r="W343">
        <v>12.441600000000001</v>
      </c>
      <c r="X343">
        <v>0.29677113010446349</v>
      </c>
    </row>
    <row r="344" spans="1:24" x14ac:dyDescent="0.3">
      <c r="A344" t="s">
        <v>2427</v>
      </c>
      <c r="B344" t="s">
        <v>2428</v>
      </c>
      <c r="C344" s="1">
        <v>43013</v>
      </c>
      <c r="D344" s="1">
        <v>43017</v>
      </c>
      <c r="E344" t="s">
        <v>54</v>
      </c>
      <c r="F344" t="s">
        <v>2429</v>
      </c>
      <c r="G344" t="s">
        <v>2430</v>
      </c>
      <c r="H344" t="s">
        <v>95</v>
      </c>
      <c r="I344" t="s">
        <v>30</v>
      </c>
      <c r="J344" t="s">
        <v>303</v>
      </c>
      <c r="K344" t="s">
        <v>304</v>
      </c>
      <c r="L344" t="s">
        <v>305</v>
      </c>
      <c r="M344" t="s">
        <v>34</v>
      </c>
      <c r="N344" t="s">
        <v>2431</v>
      </c>
      <c r="O344" t="s">
        <v>49</v>
      </c>
      <c r="P344" t="s">
        <v>129</v>
      </c>
      <c r="Q344" t="s">
        <v>2432</v>
      </c>
      <c r="R344">
        <v>46.2</v>
      </c>
      <c r="S344">
        <v>4</v>
      </c>
      <c r="T344">
        <v>0</v>
      </c>
      <c r="U344">
        <v>12.936</v>
      </c>
      <c r="V344">
        <v>33.264000000000003</v>
      </c>
      <c r="W344">
        <v>46.2</v>
      </c>
      <c r="X344">
        <v>0.12025012025012025</v>
      </c>
    </row>
    <row r="345" spans="1:24" x14ac:dyDescent="0.3">
      <c r="A345" t="s">
        <v>2433</v>
      </c>
      <c r="B345" t="s">
        <v>2434</v>
      </c>
      <c r="C345" s="1">
        <v>43710</v>
      </c>
      <c r="D345" s="1">
        <v>43714</v>
      </c>
      <c r="E345" t="s">
        <v>54</v>
      </c>
      <c r="F345" t="s">
        <v>2435</v>
      </c>
      <c r="G345" t="s">
        <v>2436</v>
      </c>
      <c r="H345" t="s">
        <v>29</v>
      </c>
      <c r="I345" t="s">
        <v>30</v>
      </c>
      <c r="J345" t="s">
        <v>144</v>
      </c>
      <c r="K345" t="s">
        <v>145</v>
      </c>
      <c r="L345" t="s">
        <v>146</v>
      </c>
      <c r="M345" t="s">
        <v>147</v>
      </c>
      <c r="N345" t="s">
        <v>2437</v>
      </c>
      <c r="O345" t="s">
        <v>49</v>
      </c>
      <c r="P345" t="s">
        <v>79</v>
      </c>
      <c r="Q345" t="s">
        <v>2438</v>
      </c>
      <c r="R345">
        <v>12.192</v>
      </c>
      <c r="S345">
        <v>3</v>
      </c>
      <c r="T345">
        <v>0.2</v>
      </c>
      <c r="U345">
        <v>4.1147999999999998</v>
      </c>
      <c r="V345">
        <v>8.0772000000000013</v>
      </c>
      <c r="W345">
        <v>9.7536000000000005</v>
      </c>
      <c r="X345">
        <v>0.37141583717129695</v>
      </c>
    </row>
    <row r="346" spans="1:24" x14ac:dyDescent="0.3">
      <c r="A346" t="s">
        <v>2439</v>
      </c>
      <c r="B346" t="s">
        <v>2440</v>
      </c>
      <c r="C346" s="1">
        <v>43271</v>
      </c>
      <c r="D346" s="1">
        <v>43275</v>
      </c>
      <c r="E346" t="s">
        <v>54</v>
      </c>
      <c r="F346" t="s">
        <v>2441</v>
      </c>
      <c r="G346" t="s">
        <v>2442</v>
      </c>
      <c r="H346" t="s">
        <v>95</v>
      </c>
      <c r="I346" t="s">
        <v>30</v>
      </c>
      <c r="J346" t="s">
        <v>144</v>
      </c>
      <c r="K346" t="s">
        <v>145</v>
      </c>
      <c r="L346" t="s">
        <v>759</v>
      </c>
      <c r="M346" t="s">
        <v>147</v>
      </c>
      <c r="N346" t="s">
        <v>2443</v>
      </c>
      <c r="O346" t="s">
        <v>49</v>
      </c>
      <c r="P346" t="s">
        <v>79</v>
      </c>
      <c r="Q346" t="s">
        <v>2444</v>
      </c>
      <c r="R346">
        <v>45.055999999999997</v>
      </c>
      <c r="S346">
        <v>8</v>
      </c>
      <c r="T346">
        <v>0.2</v>
      </c>
      <c r="U346">
        <v>15.2064</v>
      </c>
      <c r="V346">
        <v>29.849599999999995</v>
      </c>
      <c r="W346">
        <v>36.044800000000002</v>
      </c>
      <c r="X346">
        <v>0.26801029159519729</v>
      </c>
    </row>
    <row r="347" spans="1:24" x14ac:dyDescent="0.3">
      <c r="A347" t="s">
        <v>2445</v>
      </c>
      <c r="B347" t="s">
        <v>2446</v>
      </c>
      <c r="C347" s="1">
        <v>43082</v>
      </c>
      <c r="D347" s="1">
        <v>43086</v>
      </c>
      <c r="E347" t="s">
        <v>54</v>
      </c>
      <c r="F347" t="s">
        <v>2447</v>
      </c>
      <c r="G347" t="s">
        <v>2448</v>
      </c>
      <c r="H347" t="s">
        <v>43</v>
      </c>
      <c r="I347" t="s">
        <v>30</v>
      </c>
      <c r="J347" t="s">
        <v>2449</v>
      </c>
      <c r="K347" t="s">
        <v>45</v>
      </c>
      <c r="L347" t="s">
        <v>2450</v>
      </c>
      <c r="M347" t="s">
        <v>47</v>
      </c>
      <c r="N347" t="s">
        <v>2451</v>
      </c>
      <c r="O347" t="s">
        <v>49</v>
      </c>
      <c r="P347" t="s">
        <v>79</v>
      </c>
      <c r="Q347" t="s">
        <v>2452</v>
      </c>
      <c r="R347">
        <v>12.96</v>
      </c>
      <c r="S347">
        <v>2</v>
      </c>
      <c r="T347">
        <v>0</v>
      </c>
      <c r="U347">
        <v>6.2207999999999997</v>
      </c>
      <c r="V347">
        <v>6.7392000000000012</v>
      </c>
      <c r="W347">
        <v>12.96</v>
      </c>
      <c r="X347">
        <v>0.29677113010446338</v>
      </c>
    </row>
    <row r="348" spans="1:24" x14ac:dyDescent="0.3">
      <c r="A348" t="s">
        <v>2453</v>
      </c>
      <c r="B348" t="s">
        <v>2454</v>
      </c>
      <c r="C348" s="1">
        <v>43270</v>
      </c>
      <c r="D348" s="1">
        <v>43271</v>
      </c>
      <c r="E348" t="s">
        <v>180</v>
      </c>
      <c r="F348" t="s">
        <v>2455</v>
      </c>
      <c r="G348" t="s">
        <v>2456</v>
      </c>
      <c r="H348" t="s">
        <v>43</v>
      </c>
      <c r="I348" t="s">
        <v>30</v>
      </c>
      <c r="J348" t="s">
        <v>126</v>
      </c>
      <c r="K348" t="s">
        <v>45</v>
      </c>
      <c r="L348" t="s">
        <v>957</v>
      </c>
      <c r="M348" t="s">
        <v>47</v>
      </c>
      <c r="N348" t="s">
        <v>2457</v>
      </c>
      <c r="O348" t="s">
        <v>49</v>
      </c>
      <c r="P348" t="s">
        <v>79</v>
      </c>
      <c r="Q348" t="s">
        <v>2458</v>
      </c>
      <c r="R348">
        <v>17.12</v>
      </c>
      <c r="S348">
        <v>2</v>
      </c>
      <c r="T348">
        <v>0</v>
      </c>
      <c r="U348">
        <v>8.0464000000000002</v>
      </c>
      <c r="V348">
        <v>9.0736000000000008</v>
      </c>
      <c r="W348">
        <v>17.12</v>
      </c>
      <c r="X348">
        <v>0.22041967906894724</v>
      </c>
    </row>
    <row r="349" spans="1:24" x14ac:dyDescent="0.3">
      <c r="A349" t="s">
        <v>2459</v>
      </c>
      <c r="B349" t="s">
        <v>2460</v>
      </c>
      <c r="C349" s="1">
        <v>43558</v>
      </c>
      <c r="D349" s="1">
        <v>43562</v>
      </c>
      <c r="E349" t="s">
        <v>54</v>
      </c>
      <c r="F349" t="s">
        <v>2461</v>
      </c>
      <c r="G349" t="s">
        <v>2462</v>
      </c>
      <c r="H349" t="s">
        <v>29</v>
      </c>
      <c r="I349" t="s">
        <v>30</v>
      </c>
      <c r="J349" t="s">
        <v>144</v>
      </c>
      <c r="K349" t="s">
        <v>145</v>
      </c>
      <c r="L349" t="s">
        <v>1052</v>
      </c>
      <c r="M349" t="s">
        <v>147</v>
      </c>
      <c r="N349" t="s">
        <v>2463</v>
      </c>
      <c r="O349" t="s">
        <v>36</v>
      </c>
      <c r="P349" t="s">
        <v>69</v>
      </c>
      <c r="Q349" t="s">
        <v>2464</v>
      </c>
      <c r="R349">
        <v>25.472000000000001</v>
      </c>
      <c r="S349">
        <v>4</v>
      </c>
      <c r="T349">
        <v>0.2</v>
      </c>
      <c r="U349">
        <v>7.6416000000000004</v>
      </c>
      <c r="V349">
        <v>17.830400000000001</v>
      </c>
      <c r="W349">
        <v>20.377600000000001</v>
      </c>
      <c r="X349">
        <v>0.22433596554199567</v>
      </c>
    </row>
    <row r="350" spans="1:24" x14ac:dyDescent="0.3">
      <c r="A350" t="s">
        <v>2465</v>
      </c>
      <c r="B350" t="s">
        <v>2466</v>
      </c>
      <c r="C350" s="1">
        <v>43827</v>
      </c>
      <c r="D350" s="1">
        <v>43831</v>
      </c>
      <c r="E350" t="s">
        <v>54</v>
      </c>
      <c r="F350" t="s">
        <v>2467</v>
      </c>
      <c r="G350" t="s">
        <v>2468</v>
      </c>
      <c r="H350" t="s">
        <v>29</v>
      </c>
      <c r="I350" t="s">
        <v>30</v>
      </c>
      <c r="J350" t="s">
        <v>2469</v>
      </c>
      <c r="K350" t="s">
        <v>97</v>
      </c>
      <c r="L350" t="s">
        <v>2470</v>
      </c>
      <c r="M350" t="s">
        <v>99</v>
      </c>
      <c r="N350" t="s">
        <v>2471</v>
      </c>
      <c r="O350" t="s">
        <v>49</v>
      </c>
      <c r="P350" t="s">
        <v>129</v>
      </c>
      <c r="Q350" t="s">
        <v>2472</v>
      </c>
      <c r="R350">
        <v>27.167999999999999</v>
      </c>
      <c r="S350">
        <v>2</v>
      </c>
      <c r="T350">
        <v>0.2</v>
      </c>
      <c r="U350">
        <v>2.7168000000000001</v>
      </c>
      <c r="V350">
        <v>24.4512</v>
      </c>
      <c r="W350">
        <v>21.734400000000001</v>
      </c>
      <c r="X350">
        <v>8.1795576495223135E-2</v>
      </c>
    </row>
    <row r="351" spans="1:24" x14ac:dyDescent="0.3">
      <c r="A351" t="s">
        <v>2473</v>
      </c>
      <c r="B351" t="s">
        <v>2474</v>
      </c>
      <c r="C351" s="1">
        <v>43799</v>
      </c>
      <c r="D351" s="1">
        <v>43803</v>
      </c>
      <c r="E351" t="s">
        <v>54</v>
      </c>
      <c r="F351" t="s">
        <v>2475</v>
      </c>
      <c r="G351" t="s">
        <v>2476</v>
      </c>
      <c r="H351" t="s">
        <v>29</v>
      </c>
      <c r="I351" t="s">
        <v>30</v>
      </c>
      <c r="J351" t="s">
        <v>1328</v>
      </c>
      <c r="K351" t="s">
        <v>1329</v>
      </c>
      <c r="L351" t="s">
        <v>1330</v>
      </c>
      <c r="M351" t="s">
        <v>34</v>
      </c>
      <c r="N351" t="s">
        <v>273</v>
      </c>
      <c r="O351" t="s">
        <v>49</v>
      </c>
      <c r="P351" t="s">
        <v>111</v>
      </c>
      <c r="Q351" t="s">
        <v>274</v>
      </c>
      <c r="R351">
        <v>173.8</v>
      </c>
      <c r="S351">
        <v>5</v>
      </c>
      <c r="T351">
        <v>0</v>
      </c>
      <c r="U351">
        <v>43.45</v>
      </c>
      <c r="V351">
        <v>130.35000000000002</v>
      </c>
      <c r="W351">
        <v>173.8</v>
      </c>
      <c r="X351">
        <v>3.8358266206367467E-2</v>
      </c>
    </row>
    <row r="352" spans="1:24" x14ac:dyDescent="0.3">
      <c r="A352" t="s">
        <v>2477</v>
      </c>
      <c r="B352" t="s">
        <v>2478</v>
      </c>
      <c r="C352" s="1">
        <v>43600</v>
      </c>
      <c r="D352" s="1">
        <v>43603</v>
      </c>
      <c r="E352" t="s">
        <v>26</v>
      </c>
      <c r="F352" t="s">
        <v>2479</v>
      </c>
      <c r="G352" t="s">
        <v>2480</v>
      </c>
      <c r="H352" t="s">
        <v>29</v>
      </c>
      <c r="I352" t="s">
        <v>30</v>
      </c>
      <c r="J352" t="s">
        <v>520</v>
      </c>
      <c r="K352" t="s">
        <v>295</v>
      </c>
      <c r="L352" t="s">
        <v>521</v>
      </c>
      <c r="M352" t="s">
        <v>47</v>
      </c>
      <c r="N352" t="s">
        <v>2481</v>
      </c>
      <c r="O352" t="s">
        <v>186</v>
      </c>
      <c r="P352" t="s">
        <v>187</v>
      </c>
      <c r="Q352" t="s">
        <v>2482</v>
      </c>
      <c r="R352">
        <v>29.591999999999999</v>
      </c>
      <c r="S352">
        <v>1</v>
      </c>
      <c r="T352">
        <v>0.2</v>
      </c>
      <c r="U352">
        <v>2.5893000000000002</v>
      </c>
      <c r="V352">
        <v>27.002699999999997</v>
      </c>
      <c r="W352">
        <v>23.6736</v>
      </c>
      <c r="X352">
        <v>3.7033333703666675E-2</v>
      </c>
    </row>
    <row r="353" spans="1:24" x14ac:dyDescent="0.3">
      <c r="A353" t="s">
        <v>2483</v>
      </c>
      <c r="B353" t="s">
        <v>2484</v>
      </c>
      <c r="C353" s="1">
        <v>43000</v>
      </c>
      <c r="D353" s="1">
        <v>43000</v>
      </c>
      <c r="E353" t="s">
        <v>1152</v>
      </c>
      <c r="F353" t="s">
        <v>2485</v>
      </c>
      <c r="G353" t="s">
        <v>2486</v>
      </c>
      <c r="H353" t="s">
        <v>29</v>
      </c>
      <c r="I353" t="s">
        <v>30</v>
      </c>
      <c r="J353" t="s">
        <v>2055</v>
      </c>
      <c r="K353" t="s">
        <v>45</v>
      </c>
      <c r="L353" t="s">
        <v>2487</v>
      </c>
      <c r="M353" t="s">
        <v>47</v>
      </c>
      <c r="N353" t="s">
        <v>2488</v>
      </c>
      <c r="O353" t="s">
        <v>36</v>
      </c>
      <c r="P353" t="s">
        <v>69</v>
      </c>
      <c r="Q353" t="s">
        <v>2489</v>
      </c>
      <c r="R353">
        <v>204.6</v>
      </c>
      <c r="S353">
        <v>2</v>
      </c>
      <c r="T353">
        <v>0</v>
      </c>
      <c r="U353">
        <v>53.195999999999998</v>
      </c>
      <c r="V353">
        <v>151.404</v>
      </c>
      <c r="W353">
        <v>204.6</v>
      </c>
      <c r="X353">
        <v>1.3209690629045468E-2</v>
      </c>
    </row>
    <row r="354" spans="1:24" x14ac:dyDescent="0.3">
      <c r="A354" t="s">
        <v>2490</v>
      </c>
      <c r="B354" t="s">
        <v>2491</v>
      </c>
      <c r="C354" s="1">
        <v>43783</v>
      </c>
      <c r="D354" s="1">
        <v>43788</v>
      </c>
      <c r="E354" t="s">
        <v>54</v>
      </c>
      <c r="F354" t="s">
        <v>2492</v>
      </c>
      <c r="G354" t="s">
        <v>2493</v>
      </c>
      <c r="H354" t="s">
        <v>43</v>
      </c>
      <c r="I354" t="s">
        <v>30</v>
      </c>
      <c r="J354" t="s">
        <v>126</v>
      </c>
      <c r="K354" t="s">
        <v>45</v>
      </c>
      <c r="L354" t="s">
        <v>957</v>
      </c>
      <c r="M354" t="s">
        <v>47</v>
      </c>
      <c r="N354" t="s">
        <v>881</v>
      </c>
      <c r="O354" t="s">
        <v>36</v>
      </c>
      <c r="P354" t="s">
        <v>149</v>
      </c>
      <c r="Q354" t="s">
        <v>882</v>
      </c>
      <c r="R354">
        <v>321.56799999999998</v>
      </c>
      <c r="S354">
        <v>2</v>
      </c>
      <c r="T354">
        <v>0.2</v>
      </c>
      <c r="U354">
        <v>28.1372</v>
      </c>
      <c r="V354">
        <v>293.43079999999998</v>
      </c>
      <c r="W354">
        <v>257.25439999999998</v>
      </c>
      <c r="X354">
        <v>6.8159170748265012E-3</v>
      </c>
    </row>
    <row r="355" spans="1:24" x14ac:dyDescent="0.3">
      <c r="A355" t="s">
        <v>2494</v>
      </c>
      <c r="B355" t="s">
        <v>2495</v>
      </c>
      <c r="C355" s="1">
        <v>43066</v>
      </c>
      <c r="D355" s="1">
        <v>43070</v>
      </c>
      <c r="E355" t="s">
        <v>54</v>
      </c>
      <c r="F355" t="s">
        <v>2496</v>
      </c>
      <c r="G355" t="s">
        <v>2497</v>
      </c>
      <c r="H355" t="s">
        <v>95</v>
      </c>
      <c r="I355" t="s">
        <v>30</v>
      </c>
      <c r="J355" t="s">
        <v>1496</v>
      </c>
      <c r="K355" t="s">
        <v>1497</v>
      </c>
      <c r="L355" t="s">
        <v>1498</v>
      </c>
      <c r="M355" t="s">
        <v>34</v>
      </c>
      <c r="N355" t="s">
        <v>2498</v>
      </c>
      <c r="O355" t="s">
        <v>49</v>
      </c>
      <c r="P355" t="s">
        <v>89</v>
      </c>
      <c r="Q355" t="s">
        <v>2499</v>
      </c>
      <c r="R355">
        <v>6.24</v>
      </c>
      <c r="S355">
        <v>2</v>
      </c>
      <c r="T355">
        <v>0</v>
      </c>
      <c r="U355">
        <v>3.0575999999999999</v>
      </c>
      <c r="V355">
        <v>3.1824000000000003</v>
      </c>
      <c r="W355">
        <v>6.24</v>
      </c>
      <c r="X355">
        <v>0.62845651080945197</v>
      </c>
    </row>
    <row r="356" spans="1:24" x14ac:dyDescent="0.3">
      <c r="A356" t="s">
        <v>2500</v>
      </c>
      <c r="B356" t="s">
        <v>2501</v>
      </c>
      <c r="C356" s="1">
        <v>43564</v>
      </c>
      <c r="D356" s="1">
        <v>43566</v>
      </c>
      <c r="E356" t="s">
        <v>180</v>
      </c>
      <c r="F356" t="s">
        <v>2502</v>
      </c>
      <c r="G356" t="s">
        <v>2503</v>
      </c>
      <c r="H356" t="s">
        <v>95</v>
      </c>
      <c r="I356" t="s">
        <v>30</v>
      </c>
      <c r="J356" t="s">
        <v>261</v>
      </c>
      <c r="K356" t="s">
        <v>262</v>
      </c>
      <c r="L356" t="s">
        <v>1788</v>
      </c>
      <c r="M356" t="s">
        <v>147</v>
      </c>
      <c r="N356" t="s">
        <v>2504</v>
      </c>
      <c r="O356" t="s">
        <v>49</v>
      </c>
      <c r="P356" t="s">
        <v>50</v>
      </c>
      <c r="Q356" t="s">
        <v>2505</v>
      </c>
      <c r="R356">
        <v>9.82</v>
      </c>
      <c r="S356">
        <v>2</v>
      </c>
      <c r="T356">
        <v>0</v>
      </c>
      <c r="U356">
        <v>4.8117999999999999</v>
      </c>
      <c r="V356">
        <v>5.0082000000000004</v>
      </c>
      <c r="W356">
        <v>9.82</v>
      </c>
      <c r="X356">
        <v>0.39934507407851122</v>
      </c>
    </row>
    <row r="357" spans="1:24" x14ac:dyDescent="0.3">
      <c r="A357" t="s">
        <v>2506</v>
      </c>
      <c r="B357" t="s">
        <v>2507</v>
      </c>
      <c r="C357" s="1">
        <v>43250</v>
      </c>
      <c r="D357" s="1">
        <v>43251</v>
      </c>
      <c r="E357" t="s">
        <v>180</v>
      </c>
      <c r="F357" t="s">
        <v>2508</v>
      </c>
      <c r="G357" t="s">
        <v>2509</v>
      </c>
      <c r="H357" t="s">
        <v>29</v>
      </c>
      <c r="I357" t="s">
        <v>30</v>
      </c>
      <c r="J357" t="s">
        <v>498</v>
      </c>
      <c r="K357" t="s">
        <v>76</v>
      </c>
      <c r="L357" t="s">
        <v>1636</v>
      </c>
      <c r="M357" t="s">
        <v>34</v>
      </c>
      <c r="N357" t="s">
        <v>1763</v>
      </c>
      <c r="O357" t="s">
        <v>49</v>
      </c>
      <c r="P357" t="s">
        <v>89</v>
      </c>
      <c r="Q357" t="s">
        <v>1764</v>
      </c>
      <c r="R357">
        <v>3.282</v>
      </c>
      <c r="S357">
        <v>2</v>
      </c>
      <c r="T357">
        <v>0.7</v>
      </c>
      <c r="U357">
        <v>-2.6255999999999999</v>
      </c>
      <c r="V357">
        <v>5.9076000000000004</v>
      </c>
      <c r="W357">
        <v>0.98460000000000014</v>
      </c>
      <c r="X357">
        <v>0.33854695646286137</v>
      </c>
    </row>
    <row r="358" spans="1:24" x14ac:dyDescent="0.3">
      <c r="A358" t="s">
        <v>2510</v>
      </c>
      <c r="B358" t="s">
        <v>2511</v>
      </c>
      <c r="C358" s="1">
        <v>42685</v>
      </c>
      <c r="D358" s="1">
        <v>42688</v>
      </c>
      <c r="E358" t="s">
        <v>26</v>
      </c>
      <c r="F358" t="s">
        <v>2512</v>
      </c>
      <c r="G358" t="s">
        <v>2513</v>
      </c>
      <c r="H358" t="s">
        <v>29</v>
      </c>
      <c r="I358" t="s">
        <v>30</v>
      </c>
      <c r="J358" t="s">
        <v>2258</v>
      </c>
      <c r="K358" t="s">
        <v>435</v>
      </c>
      <c r="L358" t="s">
        <v>2514</v>
      </c>
      <c r="M358" t="s">
        <v>47</v>
      </c>
      <c r="N358" t="s">
        <v>2515</v>
      </c>
      <c r="O358" t="s">
        <v>49</v>
      </c>
      <c r="P358" t="s">
        <v>129</v>
      </c>
      <c r="Q358" t="s">
        <v>2516</v>
      </c>
      <c r="R358">
        <v>3.3919999999999999</v>
      </c>
      <c r="S358">
        <v>1</v>
      </c>
      <c r="T358">
        <v>0.2</v>
      </c>
      <c r="U358">
        <v>0.80559999999999998</v>
      </c>
      <c r="V358">
        <v>2.5863999999999998</v>
      </c>
      <c r="W358">
        <v>2.7136</v>
      </c>
      <c r="X358">
        <v>0.38663779771110429</v>
      </c>
    </row>
    <row r="359" spans="1:24" x14ac:dyDescent="0.3">
      <c r="A359" t="s">
        <v>2517</v>
      </c>
      <c r="B359" t="s">
        <v>2518</v>
      </c>
      <c r="C359" s="1">
        <v>43737</v>
      </c>
      <c r="D359" s="1">
        <v>43743</v>
      </c>
      <c r="E359" t="s">
        <v>54</v>
      </c>
      <c r="F359" t="s">
        <v>2519</v>
      </c>
      <c r="G359" t="s">
        <v>2520</v>
      </c>
      <c r="H359" t="s">
        <v>95</v>
      </c>
      <c r="I359" t="s">
        <v>30</v>
      </c>
      <c r="J359" t="s">
        <v>568</v>
      </c>
      <c r="K359" t="s">
        <v>97</v>
      </c>
      <c r="L359" t="s">
        <v>913</v>
      </c>
      <c r="M359" t="s">
        <v>99</v>
      </c>
      <c r="N359" t="s">
        <v>2173</v>
      </c>
      <c r="O359" t="s">
        <v>49</v>
      </c>
      <c r="P359" t="s">
        <v>50</v>
      </c>
      <c r="Q359" t="s">
        <v>2174</v>
      </c>
      <c r="R359">
        <v>7.968</v>
      </c>
      <c r="S359">
        <v>2</v>
      </c>
      <c r="T359">
        <v>0.2</v>
      </c>
      <c r="U359">
        <v>2.5895999999999999</v>
      </c>
      <c r="V359">
        <v>5.3784000000000001</v>
      </c>
      <c r="W359">
        <v>6.3744000000000005</v>
      </c>
      <c r="X359">
        <v>0.37185780157667708</v>
      </c>
    </row>
    <row r="360" spans="1:24" x14ac:dyDescent="0.3">
      <c r="A360" t="s">
        <v>2521</v>
      </c>
      <c r="B360" t="s">
        <v>2522</v>
      </c>
      <c r="C360" s="1">
        <v>42804</v>
      </c>
      <c r="D360" s="1">
        <v>42804</v>
      </c>
      <c r="E360" t="s">
        <v>1152</v>
      </c>
      <c r="F360" t="s">
        <v>2523</v>
      </c>
      <c r="G360" t="s">
        <v>2524</v>
      </c>
      <c r="H360" t="s">
        <v>29</v>
      </c>
      <c r="I360" t="s">
        <v>30</v>
      </c>
      <c r="J360" t="s">
        <v>174</v>
      </c>
      <c r="K360" t="s">
        <v>97</v>
      </c>
      <c r="L360" t="s">
        <v>193</v>
      </c>
      <c r="M360" t="s">
        <v>99</v>
      </c>
      <c r="N360" t="s">
        <v>2525</v>
      </c>
      <c r="O360" t="s">
        <v>49</v>
      </c>
      <c r="P360" t="s">
        <v>89</v>
      </c>
      <c r="Q360" t="s">
        <v>2526</v>
      </c>
      <c r="R360">
        <v>1.1120000000000001</v>
      </c>
      <c r="S360">
        <v>2</v>
      </c>
      <c r="T360">
        <v>0.8</v>
      </c>
      <c r="U360">
        <v>-1.8904000000000001</v>
      </c>
      <c r="V360">
        <v>3.0024000000000002</v>
      </c>
      <c r="W360">
        <v>0.22239999999999996</v>
      </c>
      <c r="X360">
        <v>0.66613375965893951</v>
      </c>
    </row>
    <row r="361" spans="1:24" x14ac:dyDescent="0.3">
      <c r="A361" t="s">
        <v>2527</v>
      </c>
      <c r="B361" t="s">
        <v>2528</v>
      </c>
      <c r="C361" s="1">
        <v>42823</v>
      </c>
      <c r="D361" s="1">
        <v>42825</v>
      </c>
      <c r="E361" t="s">
        <v>26</v>
      </c>
      <c r="F361" t="s">
        <v>2529</v>
      </c>
      <c r="G361" t="s">
        <v>2530</v>
      </c>
      <c r="H361" t="s">
        <v>95</v>
      </c>
      <c r="I361" t="s">
        <v>30</v>
      </c>
      <c r="J361" t="s">
        <v>1359</v>
      </c>
      <c r="K361" t="s">
        <v>58</v>
      </c>
      <c r="L361" t="s">
        <v>1360</v>
      </c>
      <c r="M361" t="s">
        <v>34</v>
      </c>
      <c r="N361" t="s">
        <v>2531</v>
      </c>
      <c r="O361" t="s">
        <v>36</v>
      </c>
      <c r="P361" t="s">
        <v>149</v>
      </c>
      <c r="Q361" t="s">
        <v>2532</v>
      </c>
      <c r="R361">
        <v>1166.92</v>
      </c>
      <c r="S361">
        <v>5</v>
      </c>
      <c r="T361">
        <v>0.2</v>
      </c>
      <c r="U361">
        <v>131.27850000000001</v>
      </c>
      <c r="V361">
        <v>1035.6415000000002</v>
      </c>
      <c r="W361">
        <v>933.53600000000006</v>
      </c>
      <c r="X361">
        <v>4.8279254935226128E-3</v>
      </c>
    </row>
    <row r="362" spans="1:24" x14ac:dyDescent="0.3">
      <c r="A362" t="s">
        <v>2533</v>
      </c>
      <c r="B362" t="s">
        <v>2534</v>
      </c>
      <c r="C362" s="1">
        <v>42511</v>
      </c>
      <c r="D362" s="1">
        <v>42515</v>
      </c>
      <c r="E362" t="s">
        <v>54</v>
      </c>
      <c r="F362" t="s">
        <v>2535</v>
      </c>
      <c r="G362" t="s">
        <v>2536</v>
      </c>
      <c r="H362" t="s">
        <v>43</v>
      </c>
      <c r="I362" t="s">
        <v>30</v>
      </c>
      <c r="J362" t="s">
        <v>2537</v>
      </c>
      <c r="K362" t="s">
        <v>304</v>
      </c>
      <c r="L362" t="s">
        <v>2538</v>
      </c>
      <c r="M362" t="s">
        <v>34</v>
      </c>
      <c r="N362" t="s">
        <v>2539</v>
      </c>
      <c r="O362" t="s">
        <v>49</v>
      </c>
      <c r="P362" t="s">
        <v>89</v>
      </c>
      <c r="Q362" t="s">
        <v>2540</v>
      </c>
      <c r="R362">
        <v>2715.93</v>
      </c>
      <c r="S362">
        <v>7</v>
      </c>
      <c r="T362">
        <v>0</v>
      </c>
      <c r="U362">
        <v>1276.4871000000001</v>
      </c>
      <c r="V362">
        <v>1439.4428999999998</v>
      </c>
      <c r="W362">
        <v>2715.93</v>
      </c>
      <c r="X362">
        <v>4.8629924813273252E-3</v>
      </c>
    </row>
    <row r="363" spans="1:24" x14ac:dyDescent="0.3">
      <c r="A363" t="s">
        <v>2541</v>
      </c>
      <c r="B363" t="s">
        <v>2542</v>
      </c>
      <c r="C363" s="1">
        <v>43036</v>
      </c>
      <c r="D363" s="1">
        <v>43042</v>
      </c>
      <c r="E363" t="s">
        <v>54</v>
      </c>
      <c r="F363" t="s">
        <v>2543</v>
      </c>
      <c r="G363" t="s">
        <v>2544</v>
      </c>
      <c r="H363" t="s">
        <v>29</v>
      </c>
      <c r="I363" t="s">
        <v>30</v>
      </c>
      <c r="J363" t="s">
        <v>31</v>
      </c>
      <c r="K363" t="s">
        <v>32</v>
      </c>
      <c r="L363" t="s">
        <v>33</v>
      </c>
      <c r="M363" t="s">
        <v>34</v>
      </c>
      <c r="N363" t="s">
        <v>2545</v>
      </c>
      <c r="O363" t="s">
        <v>49</v>
      </c>
      <c r="P363" t="s">
        <v>195</v>
      </c>
      <c r="Q363" t="s">
        <v>2546</v>
      </c>
      <c r="R363">
        <v>10.67</v>
      </c>
      <c r="S363">
        <v>1</v>
      </c>
      <c r="T363">
        <v>0</v>
      </c>
      <c r="U363">
        <v>4.9081999999999999</v>
      </c>
      <c r="V363">
        <v>5.7618</v>
      </c>
      <c r="W363">
        <v>10.67</v>
      </c>
      <c r="X363">
        <v>0.17355687458780242</v>
      </c>
    </row>
    <row r="364" spans="1:24" x14ac:dyDescent="0.3">
      <c r="A364" t="s">
        <v>2547</v>
      </c>
      <c r="B364" t="s">
        <v>2548</v>
      </c>
      <c r="C364" s="1">
        <v>42974</v>
      </c>
      <c r="D364" s="1">
        <v>42978</v>
      </c>
      <c r="E364" t="s">
        <v>54</v>
      </c>
      <c r="F364" t="s">
        <v>2549</v>
      </c>
      <c r="G364" t="s">
        <v>2550</v>
      </c>
      <c r="H364" t="s">
        <v>29</v>
      </c>
      <c r="I364" t="s">
        <v>30</v>
      </c>
      <c r="J364" t="s">
        <v>2551</v>
      </c>
      <c r="K364" t="s">
        <v>45</v>
      </c>
      <c r="L364" t="s">
        <v>2552</v>
      </c>
      <c r="M364" t="s">
        <v>47</v>
      </c>
      <c r="N364" t="s">
        <v>2553</v>
      </c>
      <c r="O364" t="s">
        <v>49</v>
      </c>
      <c r="P364" t="s">
        <v>111</v>
      </c>
      <c r="Q364" t="s">
        <v>2554</v>
      </c>
      <c r="R364">
        <v>484.65</v>
      </c>
      <c r="S364">
        <v>3</v>
      </c>
      <c r="T364">
        <v>0</v>
      </c>
      <c r="U364">
        <v>92.083500000000001</v>
      </c>
      <c r="V364">
        <v>392.56649999999996</v>
      </c>
      <c r="W364">
        <v>484.65</v>
      </c>
      <c r="X364">
        <v>7.6420173397373442E-3</v>
      </c>
    </row>
    <row r="365" spans="1:24" x14ac:dyDescent="0.3">
      <c r="A365" t="s">
        <v>2555</v>
      </c>
      <c r="B365" t="s">
        <v>2556</v>
      </c>
      <c r="C365" s="1">
        <v>43045</v>
      </c>
      <c r="D365" s="1">
        <v>43048</v>
      </c>
      <c r="E365" t="s">
        <v>180</v>
      </c>
      <c r="F365" t="s">
        <v>2557</v>
      </c>
      <c r="G365" t="s">
        <v>2558</v>
      </c>
      <c r="H365" t="s">
        <v>29</v>
      </c>
      <c r="I365" t="s">
        <v>30</v>
      </c>
      <c r="J365" t="s">
        <v>590</v>
      </c>
      <c r="K365" t="s">
        <v>295</v>
      </c>
      <c r="L365" t="s">
        <v>591</v>
      </c>
      <c r="M365" t="s">
        <v>47</v>
      </c>
      <c r="N365" t="s">
        <v>2559</v>
      </c>
      <c r="O365" t="s">
        <v>49</v>
      </c>
      <c r="P365" t="s">
        <v>195</v>
      </c>
      <c r="Q365" t="s">
        <v>2560</v>
      </c>
      <c r="R365">
        <v>7.08</v>
      </c>
      <c r="S365">
        <v>3</v>
      </c>
      <c r="T365">
        <v>0.2</v>
      </c>
      <c r="U365">
        <v>2.4780000000000002</v>
      </c>
      <c r="V365">
        <v>4.6020000000000003</v>
      </c>
      <c r="W365">
        <v>5.6640000000000006</v>
      </c>
      <c r="X365">
        <v>0.65189048239895697</v>
      </c>
    </row>
    <row r="366" spans="1:24" x14ac:dyDescent="0.3">
      <c r="A366" t="s">
        <v>2561</v>
      </c>
      <c r="B366" t="s">
        <v>2562</v>
      </c>
      <c r="C366" s="1">
        <v>42698</v>
      </c>
      <c r="D366" s="1">
        <v>42700</v>
      </c>
      <c r="E366" t="s">
        <v>180</v>
      </c>
      <c r="F366" t="s">
        <v>2563</v>
      </c>
      <c r="G366" t="s">
        <v>2564</v>
      </c>
      <c r="H366" t="s">
        <v>29</v>
      </c>
      <c r="I366" t="s">
        <v>30</v>
      </c>
      <c r="J366" t="s">
        <v>887</v>
      </c>
      <c r="K366" t="s">
        <v>45</v>
      </c>
      <c r="L366" t="s">
        <v>888</v>
      </c>
      <c r="M366" t="s">
        <v>47</v>
      </c>
      <c r="N366" t="s">
        <v>2565</v>
      </c>
      <c r="O366" t="s">
        <v>36</v>
      </c>
      <c r="P366" t="s">
        <v>69</v>
      </c>
      <c r="Q366" t="s">
        <v>2566</v>
      </c>
      <c r="R366">
        <v>151.72</v>
      </c>
      <c r="S366">
        <v>4</v>
      </c>
      <c r="T366">
        <v>0</v>
      </c>
      <c r="U366">
        <v>27.3096</v>
      </c>
      <c r="V366">
        <v>124.4104</v>
      </c>
      <c r="W366">
        <v>151.72</v>
      </c>
      <c r="X366">
        <v>3.2151652916476439E-2</v>
      </c>
    </row>
    <row r="367" spans="1:24" x14ac:dyDescent="0.3">
      <c r="A367" t="s">
        <v>2567</v>
      </c>
      <c r="B367" t="s">
        <v>2568</v>
      </c>
      <c r="C367" s="1">
        <v>43090</v>
      </c>
      <c r="D367" s="1">
        <v>43093</v>
      </c>
      <c r="E367" t="s">
        <v>26</v>
      </c>
      <c r="F367" t="s">
        <v>2569</v>
      </c>
      <c r="G367" t="s">
        <v>2570</v>
      </c>
      <c r="H367" t="s">
        <v>29</v>
      </c>
      <c r="I367" t="s">
        <v>30</v>
      </c>
      <c r="J367" t="s">
        <v>85</v>
      </c>
      <c r="K367" t="s">
        <v>86</v>
      </c>
      <c r="L367" t="s">
        <v>87</v>
      </c>
      <c r="M367" t="s">
        <v>47</v>
      </c>
      <c r="N367" t="s">
        <v>2571</v>
      </c>
      <c r="O367" t="s">
        <v>36</v>
      </c>
      <c r="P367" t="s">
        <v>61</v>
      </c>
      <c r="Q367" t="s">
        <v>2572</v>
      </c>
      <c r="R367">
        <v>1618.37</v>
      </c>
      <c r="S367">
        <v>13</v>
      </c>
      <c r="T367">
        <v>0</v>
      </c>
      <c r="U367">
        <v>356.04140000000001</v>
      </c>
      <c r="V367">
        <v>1262.3285999999998</v>
      </c>
      <c r="W367">
        <v>1618.37</v>
      </c>
      <c r="X367">
        <v>1.0298427842005641E-2</v>
      </c>
    </row>
    <row r="368" spans="1:24" x14ac:dyDescent="0.3">
      <c r="A368" t="s">
        <v>2573</v>
      </c>
      <c r="B368" t="s">
        <v>2574</v>
      </c>
      <c r="C368" s="1">
        <v>42922</v>
      </c>
      <c r="D368" s="1">
        <v>42926</v>
      </c>
      <c r="E368" t="s">
        <v>54</v>
      </c>
      <c r="F368" t="s">
        <v>2575</v>
      </c>
      <c r="G368" t="s">
        <v>2576</v>
      </c>
      <c r="H368" t="s">
        <v>43</v>
      </c>
      <c r="I368" t="s">
        <v>30</v>
      </c>
      <c r="J368" t="s">
        <v>261</v>
      </c>
      <c r="K368" t="s">
        <v>262</v>
      </c>
      <c r="L368" t="s">
        <v>1788</v>
      </c>
      <c r="M368" t="s">
        <v>147</v>
      </c>
      <c r="N368" t="s">
        <v>2577</v>
      </c>
      <c r="O368" t="s">
        <v>36</v>
      </c>
      <c r="P368" t="s">
        <v>69</v>
      </c>
      <c r="Q368" t="s">
        <v>2578</v>
      </c>
      <c r="R368">
        <v>13.96</v>
      </c>
      <c r="S368">
        <v>2</v>
      </c>
      <c r="T368">
        <v>0</v>
      </c>
      <c r="U368">
        <v>6.7008000000000001</v>
      </c>
      <c r="V368">
        <v>7.2592000000000008</v>
      </c>
      <c r="W368">
        <v>13.96</v>
      </c>
      <c r="X368">
        <v>0.27551245316288292</v>
      </c>
    </row>
    <row r="369" spans="1:24" x14ac:dyDescent="0.3">
      <c r="A369" t="s">
        <v>2579</v>
      </c>
      <c r="B369" t="s">
        <v>2580</v>
      </c>
      <c r="C369" s="1">
        <v>43816</v>
      </c>
      <c r="D369" s="1">
        <v>43819</v>
      </c>
      <c r="E369" t="s">
        <v>180</v>
      </c>
      <c r="F369" t="s">
        <v>2581</v>
      </c>
      <c r="G369" t="s">
        <v>2582</v>
      </c>
      <c r="H369" t="s">
        <v>95</v>
      </c>
      <c r="I369" t="s">
        <v>30</v>
      </c>
      <c r="J369" t="s">
        <v>44</v>
      </c>
      <c r="K369" t="s">
        <v>45</v>
      </c>
      <c r="L369" t="s">
        <v>627</v>
      </c>
      <c r="M369" t="s">
        <v>47</v>
      </c>
      <c r="N369" t="s">
        <v>2583</v>
      </c>
      <c r="O369" t="s">
        <v>49</v>
      </c>
      <c r="P369" t="s">
        <v>89</v>
      </c>
      <c r="Q369" t="s">
        <v>2584</v>
      </c>
      <c r="R369">
        <v>11.808</v>
      </c>
      <c r="S369">
        <v>2</v>
      </c>
      <c r="T369">
        <v>0.2</v>
      </c>
      <c r="U369">
        <v>4.2804000000000002</v>
      </c>
      <c r="V369">
        <v>7.5275999999999996</v>
      </c>
      <c r="W369">
        <v>9.4464000000000006</v>
      </c>
      <c r="X369">
        <v>0.26568893139911792</v>
      </c>
    </row>
    <row r="370" spans="1:24" x14ac:dyDescent="0.3">
      <c r="A370" t="s">
        <v>2585</v>
      </c>
      <c r="B370" t="s">
        <v>2586</v>
      </c>
      <c r="C370" s="1">
        <v>43111</v>
      </c>
      <c r="D370" s="1">
        <v>43113</v>
      </c>
      <c r="E370" t="s">
        <v>26</v>
      </c>
      <c r="F370" t="s">
        <v>2587</v>
      </c>
      <c r="G370" t="s">
        <v>2588</v>
      </c>
      <c r="H370" t="s">
        <v>95</v>
      </c>
      <c r="I370" t="s">
        <v>30</v>
      </c>
      <c r="J370" t="s">
        <v>303</v>
      </c>
      <c r="K370" t="s">
        <v>476</v>
      </c>
      <c r="L370" t="s">
        <v>1613</v>
      </c>
      <c r="M370" t="s">
        <v>147</v>
      </c>
      <c r="N370" t="s">
        <v>2589</v>
      </c>
      <c r="O370" t="s">
        <v>49</v>
      </c>
      <c r="P370" t="s">
        <v>79</v>
      </c>
      <c r="Q370" t="s">
        <v>2590</v>
      </c>
      <c r="R370">
        <v>15.552</v>
      </c>
      <c r="S370">
        <v>3</v>
      </c>
      <c r="T370">
        <v>0.2</v>
      </c>
      <c r="U370">
        <v>5.4432</v>
      </c>
      <c r="V370">
        <v>10.108799999999999</v>
      </c>
      <c r="W370">
        <v>12.441600000000001</v>
      </c>
      <c r="X370">
        <v>0.29677113010446349</v>
      </c>
    </row>
    <row r="371" spans="1:24" x14ac:dyDescent="0.3">
      <c r="A371" t="s">
        <v>2591</v>
      </c>
      <c r="B371" t="s">
        <v>2592</v>
      </c>
      <c r="C371" s="1">
        <v>43424</v>
      </c>
      <c r="D371" s="1">
        <v>43426</v>
      </c>
      <c r="E371" t="s">
        <v>180</v>
      </c>
      <c r="F371" t="s">
        <v>2593</v>
      </c>
      <c r="G371" t="s">
        <v>2594</v>
      </c>
      <c r="H371" t="s">
        <v>29</v>
      </c>
      <c r="I371" t="s">
        <v>30</v>
      </c>
      <c r="J371" t="s">
        <v>949</v>
      </c>
      <c r="K371" t="s">
        <v>476</v>
      </c>
      <c r="L371" t="s">
        <v>950</v>
      </c>
      <c r="M371" t="s">
        <v>147</v>
      </c>
      <c r="N371" t="s">
        <v>2595</v>
      </c>
      <c r="O371" t="s">
        <v>49</v>
      </c>
      <c r="P371" t="s">
        <v>79</v>
      </c>
      <c r="Q371" t="s">
        <v>2596</v>
      </c>
      <c r="R371">
        <v>15.696</v>
      </c>
      <c r="S371">
        <v>3</v>
      </c>
      <c r="T371">
        <v>0.2</v>
      </c>
      <c r="U371">
        <v>5.1012000000000004</v>
      </c>
      <c r="V371">
        <v>10.594799999999999</v>
      </c>
      <c r="W371">
        <v>12.556800000000001</v>
      </c>
      <c r="X371">
        <v>0.28315777551251559</v>
      </c>
    </row>
    <row r="372" spans="1:24" x14ac:dyDescent="0.3">
      <c r="A372" t="s">
        <v>2597</v>
      </c>
      <c r="B372" t="s">
        <v>2598</v>
      </c>
      <c r="C372" s="1">
        <v>42899</v>
      </c>
      <c r="D372" s="1">
        <v>42900</v>
      </c>
      <c r="E372" t="s">
        <v>180</v>
      </c>
      <c r="F372" t="s">
        <v>2599</v>
      </c>
      <c r="G372" t="s">
        <v>2600</v>
      </c>
      <c r="H372" t="s">
        <v>29</v>
      </c>
      <c r="I372" t="s">
        <v>30</v>
      </c>
      <c r="J372" t="s">
        <v>44</v>
      </c>
      <c r="K372" t="s">
        <v>45</v>
      </c>
      <c r="L372" t="s">
        <v>279</v>
      </c>
      <c r="M372" t="s">
        <v>47</v>
      </c>
      <c r="N372" t="s">
        <v>2601</v>
      </c>
      <c r="O372" t="s">
        <v>49</v>
      </c>
      <c r="P372" t="s">
        <v>89</v>
      </c>
      <c r="Q372" t="s">
        <v>2602</v>
      </c>
      <c r="R372">
        <v>36.624000000000002</v>
      </c>
      <c r="S372">
        <v>3</v>
      </c>
      <c r="T372">
        <v>0.2</v>
      </c>
      <c r="U372">
        <v>13.734</v>
      </c>
      <c r="V372">
        <v>22.89</v>
      </c>
      <c r="W372">
        <v>29.299200000000003</v>
      </c>
      <c r="X372">
        <v>0.13106159895150721</v>
      </c>
    </row>
    <row r="373" spans="1:24" x14ac:dyDescent="0.3">
      <c r="A373" t="s">
        <v>2603</v>
      </c>
      <c r="B373" t="s">
        <v>2604</v>
      </c>
      <c r="C373" s="1">
        <v>43789</v>
      </c>
      <c r="D373" s="1">
        <v>43790</v>
      </c>
      <c r="E373" t="s">
        <v>180</v>
      </c>
      <c r="F373" t="s">
        <v>2605</v>
      </c>
      <c r="G373" t="s">
        <v>2606</v>
      </c>
      <c r="H373" t="s">
        <v>29</v>
      </c>
      <c r="I373" t="s">
        <v>30</v>
      </c>
      <c r="J373" t="s">
        <v>1935</v>
      </c>
      <c r="K373" t="s">
        <v>76</v>
      </c>
      <c r="L373" t="s">
        <v>1936</v>
      </c>
      <c r="M373" t="s">
        <v>34</v>
      </c>
      <c r="N373" t="s">
        <v>2607</v>
      </c>
      <c r="O373" t="s">
        <v>49</v>
      </c>
      <c r="P373" t="s">
        <v>129</v>
      </c>
      <c r="Q373" t="s">
        <v>2608</v>
      </c>
      <c r="R373">
        <v>23.968</v>
      </c>
      <c r="S373">
        <v>7</v>
      </c>
      <c r="T373">
        <v>0.2</v>
      </c>
      <c r="U373">
        <v>2.6964000000000001</v>
      </c>
      <c r="V373">
        <v>21.271599999999999</v>
      </c>
      <c r="W373">
        <v>19.174400000000002</v>
      </c>
      <c r="X373">
        <v>0.32907726734237197</v>
      </c>
    </row>
    <row r="374" spans="1:24" x14ac:dyDescent="0.3">
      <c r="A374" t="s">
        <v>2609</v>
      </c>
      <c r="B374" t="s">
        <v>2610</v>
      </c>
      <c r="C374" s="1">
        <v>43179</v>
      </c>
      <c r="D374" s="1">
        <v>43183</v>
      </c>
      <c r="E374" t="s">
        <v>54</v>
      </c>
      <c r="F374" t="s">
        <v>2611</v>
      </c>
      <c r="G374" t="s">
        <v>2612</v>
      </c>
      <c r="H374" t="s">
        <v>95</v>
      </c>
      <c r="I374" t="s">
        <v>30</v>
      </c>
      <c r="J374" t="s">
        <v>2613</v>
      </c>
      <c r="K374" t="s">
        <v>560</v>
      </c>
      <c r="L374" t="s">
        <v>2614</v>
      </c>
      <c r="M374" t="s">
        <v>99</v>
      </c>
      <c r="N374" t="s">
        <v>2615</v>
      </c>
      <c r="O374" t="s">
        <v>36</v>
      </c>
      <c r="P374" t="s">
        <v>61</v>
      </c>
      <c r="Q374" t="s">
        <v>2616</v>
      </c>
      <c r="R374">
        <v>697.16</v>
      </c>
      <c r="S374">
        <v>4</v>
      </c>
      <c r="T374">
        <v>0</v>
      </c>
      <c r="U374">
        <v>146.40360000000001</v>
      </c>
      <c r="V374">
        <v>550.75639999999999</v>
      </c>
      <c r="W374">
        <v>697.16</v>
      </c>
      <c r="X374">
        <v>7.2627390258197637E-3</v>
      </c>
    </row>
    <row r="375" spans="1:24" x14ac:dyDescent="0.3">
      <c r="A375" t="s">
        <v>2617</v>
      </c>
      <c r="B375" t="s">
        <v>2618</v>
      </c>
      <c r="C375" s="1">
        <v>43349</v>
      </c>
      <c r="D375" s="1">
        <v>43352</v>
      </c>
      <c r="E375" t="s">
        <v>26</v>
      </c>
      <c r="F375" t="s">
        <v>2619</v>
      </c>
      <c r="G375" t="s">
        <v>2620</v>
      </c>
      <c r="H375" t="s">
        <v>29</v>
      </c>
      <c r="I375" t="s">
        <v>30</v>
      </c>
      <c r="J375" t="s">
        <v>261</v>
      </c>
      <c r="K375" t="s">
        <v>262</v>
      </c>
      <c r="L375" t="s">
        <v>459</v>
      </c>
      <c r="M375" t="s">
        <v>147</v>
      </c>
      <c r="N375" t="s">
        <v>2621</v>
      </c>
      <c r="O375" t="s">
        <v>186</v>
      </c>
      <c r="P375" t="s">
        <v>228</v>
      </c>
      <c r="Q375" t="s">
        <v>2622</v>
      </c>
      <c r="R375">
        <v>31.86</v>
      </c>
      <c r="S375">
        <v>2</v>
      </c>
      <c r="T375">
        <v>0</v>
      </c>
      <c r="U375">
        <v>11.151</v>
      </c>
      <c r="V375">
        <v>20.709</v>
      </c>
      <c r="W375">
        <v>31.86</v>
      </c>
      <c r="X375">
        <v>9.6576367762808438E-2</v>
      </c>
    </row>
    <row r="376" spans="1:24" x14ac:dyDescent="0.3">
      <c r="A376" t="s">
        <v>2623</v>
      </c>
      <c r="B376" t="s">
        <v>2624</v>
      </c>
      <c r="C376" s="1">
        <v>43655</v>
      </c>
      <c r="D376" s="1">
        <v>43658</v>
      </c>
      <c r="E376" t="s">
        <v>180</v>
      </c>
      <c r="F376" t="s">
        <v>2625</v>
      </c>
      <c r="G376" t="s">
        <v>2626</v>
      </c>
      <c r="H376" t="s">
        <v>43</v>
      </c>
      <c r="I376" t="s">
        <v>30</v>
      </c>
      <c r="J376" t="s">
        <v>286</v>
      </c>
      <c r="K376" t="s">
        <v>202</v>
      </c>
      <c r="L376" t="s">
        <v>287</v>
      </c>
      <c r="M376" t="s">
        <v>99</v>
      </c>
      <c r="N376" t="s">
        <v>2627</v>
      </c>
      <c r="O376" t="s">
        <v>49</v>
      </c>
      <c r="P376" t="s">
        <v>129</v>
      </c>
      <c r="Q376" t="s">
        <v>2628</v>
      </c>
      <c r="R376">
        <v>8.84</v>
      </c>
      <c r="S376">
        <v>5</v>
      </c>
      <c r="T376">
        <v>0.2</v>
      </c>
      <c r="U376">
        <v>2.9834999999999998</v>
      </c>
      <c r="V376">
        <v>5.8565000000000005</v>
      </c>
      <c r="W376">
        <v>7.0720000000000001</v>
      </c>
      <c r="X376">
        <v>0.85375224109963277</v>
      </c>
    </row>
    <row r="377" spans="1:24" x14ac:dyDescent="0.3">
      <c r="A377" t="s">
        <v>2629</v>
      </c>
      <c r="B377" t="s">
        <v>2630</v>
      </c>
      <c r="C377" s="1">
        <v>42919</v>
      </c>
      <c r="D377" s="1">
        <v>42921</v>
      </c>
      <c r="E377" t="s">
        <v>180</v>
      </c>
      <c r="F377" t="s">
        <v>2631</v>
      </c>
      <c r="G377" t="s">
        <v>2632</v>
      </c>
      <c r="H377" t="s">
        <v>43</v>
      </c>
      <c r="I377" t="s">
        <v>30</v>
      </c>
      <c r="J377" t="s">
        <v>144</v>
      </c>
      <c r="K377" t="s">
        <v>145</v>
      </c>
      <c r="L377" t="s">
        <v>634</v>
      </c>
      <c r="M377" t="s">
        <v>147</v>
      </c>
      <c r="N377" t="s">
        <v>2633</v>
      </c>
      <c r="O377" t="s">
        <v>36</v>
      </c>
      <c r="P377" t="s">
        <v>69</v>
      </c>
      <c r="Q377" t="s">
        <v>2634</v>
      </c>
      <c r="R377">
        <v>168.464</v>
      </c>
      <c r="S377">
        <v>2</v>
      </c>
      <c r="T377">
        <v>0.2</v>
      </c>
      <c r="U377">
        <v>-29.481200000000001</v>
      </c>
      <c r="V377">
        <v>197.9452</v>
      </c>
      <c r="W377">
        <v>134.77119999999999</v>
      </c>
      <c r="X377">
        <v>1.0103806508063848E-2</v>
      </c>
    </row>
    <row r="378" spans="1:24" x14ac:dyDescent="0.3">
      <c r="A378" t="s">
        <v>2635</v>
      </c>
      <c r="B378" t="s">
        <v>2636</v>
      </c>
      <c r="C378" s="1">
        <v>42829</v>
      </c>
      <c r="D378" s="1">
        <v>42833</v>
      </c>
      <c r="E378" t="s">
        <v>54</v>
      </c>
      <c r="F378" t="s">
        <v>2637</v>
      </c>
      <c r="G378" t="s">
        <v>2638</v>
      </c>
      <c r="H378" t="s">
        <v>95</v>
      </c>
      <c r="I378" t="s">
        <v>30</v>
      </c>
      <c r="J378" t="s">
        <v>261</v>
      </c>
      <c r="K378" t="s">
        <v>262</v>
      </c>
      <c r="L378" t="s">
        <v>312</v>
      </c>
      <c r="M378" t="s">
        <v>147</v>
      </c>
      <c r="N378" t="s">
        <v>2639</v>
      </c>
      <c r="O378" t="s">
        <v>49</v>
      </c>
      <c r="P378" t="s">
        <v>129</v>
      </c>
      <c r="Q378" t="s">
        <v>2640</v>
      </c>
      <c r="R378">
        <v>11.16</v>
      </c>
      <c r="S378">
        <v>2</v>
      </c>
      <c r="T378">
        <v>0</v>
      </c>
      <c r="U378">
        <v>4.3524000000000003</v>
      </c>
      <c r="V378">
        <v>6.8075999999999999</v>
      </c>
      <c r="W378">
        <v>11.16</v>
      </c>
      <c r="X378">
        <v>0.29378929431811507</v>
      </c>
    </row>
    <row r="379" spans="1:24" x14ac:dyDescent="0.3">
      <c r="A379" t="s">
        <v>2641</v>
      </c>
      <c r="B379" t="s">
        <v>2642</v>
      </c>
      <c r="C379" s="1">
        <v>43428</v>
      </c>
      <c r="D379" s="1">
        <v>43435</v>
      </c>
      <c r="E379" t="s">
        <v>54</v>
      </c>
      <c r="F379" t="s">
        <v>2643</v>
      </c>
      <c r="G379" t="s">
        <v>2644</v>
      </c>
      <c r="H379" t="s">
        <v>95</v>
      </c>
      <c r="I379" t="s">
        <v>30</v>
      </c>
      <c r="J379" t="s">
        <v>144</v>
      </c>
      <c r="K379" t="s">
        <v>145</v>
      </c>
      <c r="L379" t="s">
        <v>1052</v>
      </c>
      <c r="M379" t="s">
        <v>147</v>
      </c>
      <c r="N379" t="s">
        <v>2645</v>
      </c>
      <c r="O379" t="s">
        <v>49</v>
      </c>
      <c r="P379" t="s">
        <v>265</v>
      </c>
      <c r="Q379" t="s">
        <v>2646</v>
      </c>
      <c r="R379">
        <v>4.4160000000000004</v>
      </c>
      <c r="S379">
        <v>3</v>
      </c>
      <c r="T379">
        <v>0.2</v>
      </c>
      <c r="U379">
        <v>1.6008</v>
      </c>
      <c r="V379">
        <v>2.8152000000000004</v>
      </c>
      <c r="W379">
        <v>3.5328000000000004</v>
      </c>
      <c r="X379">
        <v>1.0656436487638532</v>
      </c>
    </row>
    <row r="380" spans="1:24" x14ac:dyDescent="0.3">
      <c r="A380" t="s">
        <v>2647</v>
      </c>
      <c r="B380" t="s">
        <v>2648</v>
      </c>
      <c r="C380" s="1">
        <v>42841</v>
      </c>
      <c r="D380" s="1">
        <v>42846</v>
      </c>
      <c r="E380" t="s">
        <v>54</v>
      </c>
      <c r="F380" t="s">
        <v>2649</v>
      </c>
      <c r="G380" t="s">
        <v>2650</v>
      </c>
      <c r="H380" t="s">
        <v>43</v>
      </c>
      <c r="I380" t="s">
        <v>30</v>
      </c>
      <c r="J380" t="s">
        <v>2651</v>
      </c>
      <c r="K380" t="s">
        <v>476</v>
      </c>
      <c r="L380" t="s">
        <v>2652</v>
      </c>
      <c r="M380" t="s">
        <v>147</v>
      </c>
      <c r="N380" t="s">
        <v>2653</v>
      </c>
      <c r="O380" t="s">
        <v>49</v>
      </c>
      <c r="P380" t="s">
        <v>101</v>
      </c>
      <c r="Q380" t="s">
        <v>2654</v>
      </c>
      <c r="R380">
        <v>45.216000000000001</v>
      </c>
      <c r="S380">
        <v>3</v>
      </c>
      <c r="T380">
        <v>0.2</v>
      </c>
      <c r="U380">
        <v>4.5216000000000003</v>
      </c>
      <c r="V380">
        <v>40.694400000000002</v>
      </c>
      <c r="W380">
        <v>36.172800000000002</v>
      </c>
      <c r="X380">
        <v>7.3720217032318944E-2</v>
      </c>
    </row>
    <row r="381" spans="1:24" x14ac:dyDescent="0.3">
      <c r="A381" t="s">
        <v>2655</v>
      </c>
      <c r="B381" t="s">
        <v>2656</v>
      </c>
      <c r="C381" s="1">
        <v>43374</v>
      </c>
      <c r="D381" s="1">
        <v>43375</v>
      </c>
      <c r="E381" t="s">
        <v>180</v>
      </c>
      <c r="F381" t="s">
        <v>2657</v>
      </c>
      <c r="G381" t="s">
        <v>2658</v>
      </c>
      <c r="H381" t="s">
        <v>29</v>
      </c>
      <c r="I381" t="s">
        <v>30</v>
      </c>
      <c r="J381" t="s">
        <v>126</v>
      </c>
      <c r="K381" t="s">
        <v>45</v>
      </c>
      <c r="L381" t="s">
        <v>343</v>
      </c>
      <c r="M381" t="s">
        <v>47</v>
      </c>
      <c r="N381" t="s">
        <v>288</v>
      </c>
      <c r="O381" t="s">
        <v>36</v>
      </c>
      <c r="P381" t="s">
        <v>149</v>
      </c>
      <c r="Q381" t="s">
        <v>289</v>
      </c>
      <c r="R381">
        <v>194.84800000000001</v>
      </c>
      <c r="S381">
        <v>4</v>
      </c>
      <c r="T381">
        <v>0.2</v>
      </c>
      <c r="U381">
        <v>12.178000000000001</v>
      </c>
      <c r="V381">
        <v>182.67000000000002</v>
      </c>
      <c r="W381">
        <v>155.87840000000003</v>
      </c>
      <c r="X381">
        <v>2.1897410631192861E-2</v>
      </c>
    </row>
    <row r="382" spans="1:24" x14ac:dyDescent="0.3">
      <c r="A382" t="s">
        <v>2659</v>
      </c>
      <c r="B382" t="s">
        <v>2660</v>
      </c>
      <c r="C382" s="1">
        <v>43736</v>
      </c>
      <c r="D382" s="1">
        <v>43738</v>
      </c>
      <c r="E382" t="s">
        <v>26</v>
      </c>
      <c r="F382" t="s">
        <v>2661</v>
      </c>
      <c r="G382" t="s">
        <v>2662</v>
      </c>
      <c r="H382" t="s">
        <v>29</v>
      </c>
      <c r="I382" t="s">
        <v>30</v>
      </c>
      <c r="J382" t="s">
        <v>2663</v>
      </c>
      <c r="K382" t="s">
        <v>97</v>
      </c>
      <c r="L382" t="s">
        <v>2664</v>
      </c>
      <c r="M382" t="s">
        <v>99</v>
      </c>
      <c r="N382" t="s">
        <v>2665</v>
      </c>
      <c r="O382" t="s">
        <v>49</v>
      </c>
      <c r="P382" t="s">
        <v>1705</v>
      </c>
      <c r="Q382" t="s">
        <v>2303</v>
      </c>
      <c r="R382">
        <v>1.744</v>
      </c>
      <c r="S382">
        <v>1</v>
      </c>
      <c r="T382">
        <v>0.2</v>
      </c>
      <c r="U382">
        <v>-0.3488</v>
      </c>
      <c r="V382">
        <v>2.0928</v>
      </c>
      <c r="W382">
        <v>1.3952</v>
      </c>
      <c r="X382">
        <v>0.47782874617737003</v>
      </c>
    </row>
    <row r="383" spans="1:24" x14ac:dyDescent="0.3">
      <c r="A383" t="s">
        <v>2666</v>
      </c>
      <c r="B383" t="s">
        <v>2667</v>
      </c>
      <c r="C383" s="1">
        <v>43059</v>
      </c>
      <c r="D383" s="1">
        <v>43065</v>
      </c>
      <c r="E383" t="s">
        <v>54</v>
      </c>
      <c r="F383" t="s">
        <v>2668</v>
      </c>
      <c r="G383" t="s">
        <v>2669</v>
      </c>
      <c r="H383" t="s">
        <v>95</v>
      </c>
      <c r="I383" t="s">
        <v>30</v>
      </c>
      <c r="J383" t="s">
        <v>44</v>
      </c>
      <c r="K383" t="s">
        <v>45</v>
      </c>
      <c r="L383" t="s">
        <v>1669</v>
      </c>
      <c r="M383" t="s">
        <v>47</v>
      </c>
      <c r="N383" t="s">
        <v>2670</v>
      </c>
      <c r="O383" t="s">
        <v>49</v>
      </c>
      <c r="P383" t="s">
        <v>129</v>
      </c>
      <c r="Q383" t="s">
        <v>2671</v>
      </c>
      <c r="R383">
        <v>19.46</v>
      </c>
      <c r="S383">
        <v>7</v>
      </c>
      <c r="T383">
        <v>0</v>
      </c>
      <c r="U383">
        <v>5.0595999999999997</v>
      </c>
      <c r="V383">
        <v>14.400400000000001</v>
      </c>
      <c r="W383">
        <v>19.46</v>
      </c>
      <c r="X383">
        <v>0.48609760839976662</v>
      </c>
    </row>
    <row r="384" spans="1:24" x14ac:dyDescent="0.3">
      <c r="A384" t="s">
        <v>2672</v>
      </c>
      <c r="B384" t="s">
        <v>2673</v>
      </c>
      <c r="C384" s="1">
        <v>43218</v>
      </c>
      <c r="D384" s="1">
        <v>43222</v>
      </c>
      <c r="E384" t="s">
        <v>54</v>
      </c>
      <c r="F384" t="s">
        <v>2674</v>
      </c>
      <c r="G384" t="s">
        <v>2675</v>
      </c>
      <c r="H384" t="s">
        <v>95</v>
      </c>
      <c r="I384" t="s">
        <v>30</v>
      </c>
      <c r="J384" t="s">
        <v>774</v>
      </c>
      <c r="K384" t="s">
        <v>435</v>
      </c>
      <c r="L384" t="s">
        <v>775</v>
      </c>
      <c r="M384" t="s">
        <v>47</v>
      </c>
      <c r="N384" t="s">
        <v>2676</v>
      </c>
      <c r="O384" t="s">
        <v>49</v>
      </c>
      <c r="P384" t="s">
        <v>79</v>
      </c>
      <c r="Q384" t="s">
        <v>2677</v>
      </c>
      <c r="R384">
        <v>29.472000000000001</v>
      </c>
      <c r="S384">
        <v>3</v>
      </c>
      <c r="T384">
        <v>0.2</v>
      </c>
      <c r="U384">
        <v>9.9467999999999996</v>
      </c>
      <c r="V384">
        <v>19.525200000000002</v>
      </c>
      <c r="W384">
        <v>23.577600000000004</v>
      </c>
      <c r="X384">
        <v>0.15364759387867985</v>
      </c>
    </row>
    <row r="385" spans="1:24" x14ac:dyDescent="0.3">
      <c r="A385" t="s">
        <v>2678</v>
      </c>
      <c r="B385" t="s">
        <v>2679</v>
      </c>
      <c r="C385" s="1">
        <v>43783</v>
      </c>
      <c r="D385" s="1">
        <v>43788</v>
      </c>
      <c r="E385" t="s">
        <v>54</v>
      </c>
      <c r="F385" t="s">
        <v>2680</v>
      </c>
      <c r="G385" t="s">
        <v>2681</v>
      </c>
      <c r="H385" t="s">
        <v>29</v>
      </c>
      <c r="I385" t="s">
        <v>30</v>
      </c>
      <c r="J385" t="s">
        <v>261</v>
      </c>
      <c r="K385" t="s">
        <v>262</v>
      </c>
      <c r="L385" t="s">
        <v>459</v>
      </c>
      <c r="M385" t="s">
        <v>147</v>
      </c>
      <c r="N385" t="s">
        <v>2682</v>
      </c>
      <c r="O385" t="s">
        <v>49</v>
      </c>
      <c r="P385" t="s">
        <v>89</v>
      </c>
      <c r="Q385" t="s">
        <v>2683</v>
      </c>
      <c r="R385">
        <v>8.64</v>
      </c>
      <c r="S385">
        <v>2</v>
      </c>
      <c r="T385">
        <v>0.2</v>
      </c>
      <c r="U385">
        <v>3.024</v>
      </c>
      <c r="V385">
        <v>5.6160000000000005</v>
      </c>
      <c r="W385">
        <v>6.9120000000000008</v>
      </c>
      <c r="X385">
        <v>0.35612535612535612</v>
      </c>
    </row>
    <row r="386" spans="1:24" x14ac:dyDescent="0.3">
      <c r="A386" t="s">
        <v>2684</v>
      </c>
      <c r="B386" t="s">
        <v>2685</v>
      </c>
      <c r="C386" s="1">
        <v>43416</v>
      </c>
      <c r="D386" s="1">
        <v>43423</v>
      </c>
      <c r="E386" t="s">
        <v>54</v>
      </c>
      <c r="F386" t="s">
        <v>2686</v>
      </c>
      <c r="G386" t="s">
        <v>2687</v>
      </c>
      <c r="H386" t="s">
        <v>29</v>
      </c>
      <c r="I386" t="s">
        <v>30</v>
      </c>
      <c r="J386" t="s">
        <v>1584</v>
      </c>
      <c r="K386" t="s">
        <v>295</v>
      </c>
      <c r="L386" t="s">
        <v>1585</v>
      </c>
      <c r="M386" t="s">
        <v>47</v>
      </c>
      <c r="N386" t="s">
        <v>2688</v>
      </c>
      <c r="O386" t="s">
        <v>49</v>
      </c>
      <c r="P386" t="s">
        <v>89</v>
      </c>
      <c r="Q386" t="s">
        <v>2689</v>
      </c>
      <c r="R386">
        <v>6.27</v>
      </c>
      <c r="S386">
        <v>5</v>
      </c>
      <c r="T386">
        <v>0.7</v>
      </c>
      <c r="U386">
        <v>-4.5979999999999999</v>
      </c>
      <c r="V386">
        <v>10.867999999999999</v>
      </c>
      <c r="W386">
        <v>1.8810000000000002</v>
      </c>
      <c r="X386">
        <v>0.4600662495399338</v>
      </c>
    </row>
    <row r="387" spans="1:24" x14ac:dyDescent="0.3">
      <c r="A387" t="s">
        <v>2690</v>
      </c>
      <c r="B387" t="s">
        <v>2691</v>
      </c>
      <c r="C387" s="1">
        <v>43372</v>
      </c>
      <c r="D387" s="1">
        <v>43373</v>
      </c>
      <c r="E387" t="s">
        <v>180</v>
      </c>
      <c r="F387" t="s">
        <v>2692</v>
      </c>
      <c r="G387" t="s">
        <v>2693</v>
      </c>
      <c r="H387" t="s">
        <v>95</v>
      </c>
      <c r="I387" t="s">
        <v>30</v>
      </c>
      <c r="J387" t="s">
        <v>475</v>
      </c>
      <c r="K387" t="s">
        <v>253</v>
      </c>
      <c r="L387" t="s">
        <v>1380</v>
      </c>
      <c r="M387" t="s">
        <v>99</v>
      </c>
      <c r="N387" t="s">
        <v>2694</v>
      </c>
      <c r="O387" t="s">
        <v>49</v>
      </c>
      <c r="P387" t="s">
        <v>129</v>
      </c>
      <c r="Q387" t="s">
        <v>2695</v>
      </c>
      <c r="R387">
        <v>40.880000000000003</v>
      </c>
      <c r="S387">
        <v>7</v>
      </c>
      <c r="T387">
        <v>0</v>
      </c>
      <c r="U387">
        <v>10.6288</v>
      </c>
      <c r="V387">
        <v>30.251200000000004</v>
      </c>
      <c r="W387">
        <v>40.880000000000003</v>
      </c>
      <c r="X387">
        <v>0.23139577934098479</v>
      </c>
    </row>
    <row r="388" spans="1:24" x14ac:dyDescent="0.3">
      <c r="A388" t="s">
        <v>2696</v>
      </c>
      <c r="B388" t="s">
        <v>2697</v>
      </c>
      <c r="C388" s="1">
        <v>43731</v>
      </c>
      <c r="D388" s="1">
        <v>43733</v>
      </c>
      <c r="E388" t="s">
        <v>26</v>
      </c>
      <c r="F388" t="s">
        <v>2698</v>
      </c>
      <c r="G388" t="s">
        <v>2699</v>
      </c>
      <c r="H388" t="s">
        <v>29</v>
      </c>
      <c r="I388" t="s">
        <v>30</v>
      </c>
      <c r="J388" t="s">
        <v>85</v>
      </c>
      <c r="K388" t="s">
        <v>86</v>
      </c>
      <c r="L388" t="s">
        <v>606</v>
      </c>
      <c r="M388" t="s">
        <v>47</v>
      </c>
      <c r="N388" t="s">
        <v>2700</v>
      </c>
      <c r="O388" t="s">
        <v>49</v>
      </c>
      <c r="P388" t="s">
        <v>101</v>
      </c>
      <c r="Q388" t="s">
        <v>2701</v>
      </c>
      <c r="R388">
        <v>119.96</v>
      </c>
      <c r="S388">
        <v>2</v>
      </c>
      <c r="T388">
        <v>0</v>
      </c>
      <c r="U388">
        <v>33.588799999999999</v>
      </c>
      <c r="V388">
        <v>86.371199999999988</v>
      </c>
      <c r="W388">
        <v>119.96</v>
      </c>
      <c r="X388">
        <v>2.3155866770404952E-2</v>
      </c>
    </row>
    <row r="389" spans="1:24" x14ac:dyDescent="0.3">
      <c r="A389" t="s">
        <v>2702</v>
      </c>
      <c r="B389" t="s">
        <v>2703</v>
      </c>
      <c r="C389" s="1">
        <v>43068</v>
      </c>
      <c r="D389" s="1">
        <v>43073</v>
      </c>
      <c r="E389" t="s">
        <v>54</v>
      </c>
      <c r="F389" t="s">
        <v>2704</v>
      </c>
      <c r="G389" t="s">
        <v>2705</v>
      </c>
      <c r="H389" t="s">
        <v>43</v>
      </c>
      <c r="I389" t="s">
        <v>30</v>
      </c>
      <c r="J389" t="s">
        <v>839</v>
      </c>
      <c r="K389" t="s">
        <v>235</v>
      </c>
      <c r="L389" t="s">
        <v>840</v>
      </c>
      <c r="M389" t="s">
        <v>99</v>
      </c>
      <c r="N389" t="s">
        <v>2706</v>
      </c>
      <c r="O389" t="s">
        <v>49</v>
      </c>
      <c r="P389" t="s">
        <v>79</v>
      </c>
      <c r="Q389" t="s">
        <v>177</v>
      </c>
      <c r="R389">
        <v>19.920000000000002</v>
      </c>
      <c r="S389">
        <v>4</v>
      </c>
      <c r="T389">
        <v>0</v>
      </c>
      <c r="U389">
        <v>9.3623999999999992</v>
      </c>
      <c r="V389">
        <v>10.557600000000003</v>
      </c>
      <c r="W389">
        <v>19.920000000000002</v>
      </c>
      <c r="X389">
        <v>0.37887398651208598</v>
      </c>
    </row>
    <row r="390" spans="1:24" x14ac:dyDescent="0.3">
      <c r="A390" t="s">
        <v>2707</v>
      </c>
      <c r="B390" t="s">
        <v>2708</v>
      </c>
      <c r="C390" s="1">
        <v>43327</v>
      </c>
      <c r="D390" s="1">
        <v>43332</v>
      </c>
      <c r="E390" t="s">
        <v>26</v>
      </c>
      <c r="F390" t="s">
        <v>2709</v>
      </c>
      <c r="G390" t="s">
        <v>2710</v>
      </c>
      <c r="H390" t="s">
        <v>43</v>
      </c>
      <c r="I390" t="s">
        <v>30</v>
      </c>
      <c r="J390" t="s">
        <v>2711</v>
      </c>
      <c r="K390" t="s">
        <v>45</v>
      </c>
      <c r="L390" t="s">
        <v>2712</v>
      </c>
      <c r="M390" t="s">
        <v>47</v>
      </c>
      <c r="N390" t="s">
        <v>2713</v>
      </c>
      <c r="O390" t="s">
        <v>186</v>
      </c>
      <c r="P390" t="s">
        <v>187</v>
      </c>
      <c r="Q390" t="s">
        <v>2714</v>
      </c>
      <c r="R390">
        <v>71.975999999999999</v>
      </c>
      <c r="S390">
        <v>3</v>
      </c>
      <c r="T390">
        <v>0.2</v>
      </c>
      <c r="U390">
        <v>7.1976000000000004</v>
      </c>
      <c r="V390">
        <v>64.778400000000005</v>
      </c>
      <c r="W390">
        <v>57.580800000000004</v>
      </c>
      <c r="X390">
        <v>4.6311733540809898E-2</v>
      </c>
    </row>
    <row r="391" spans="1:24" x14ac:dyDescent="0.3">
      <c r="A391" t="s">
        <v>2715</v>
      </c>
      <c r="B391" t="s">
        <v>2716</v>
      </c>
      <c r="C391" s="1">
        <v>43096</v>
      </c>
      <c r="D391" s="1">
        <v>43100</v>
      </c>
      <c r="E391" t="s">
        <v>54</v>
      </c>
      <c r="F391" t="s">
        <v>2717</v>
      </c>
      <c r="G391" t="s">
        <v>2718</v>
      </c>
      <c r="H391" t="s">
        <v>95</v>
      </c>
      <c r="I391" t="s">
        <v>30</v>
      </c>
      <c r="J391" t="s">
        <v>2719</v>
      </c>
      <c r="K391" t="s">
        <v>2361</v>
      </c>
      <c r="L391" t="s">
        <v>2720</v>
      </c>
      <c r="M391" t="s">
        <v>147</v>
      </c>
      <c r="N391" t="s">
        <v>2721</v>
      </c>
      <c r="O391" t="s">
        <v>49</v>
      </c>
      <c r="P391" t="s">
        <v>79</v>
      </c>
      <c r="Q391" t="s">
        <v>2722</v>
      </c>
      <c r="R391">
        <v>28.9</v>
      </c>
      <c r="S391">
        <v>5</v>
      </c>
      <c r="T391">
        <v>0</v>
      </c>
      <c r="U391">
        <v>14.161</v>
      </c>
      <c r="V391">
        <v>14.738999999999999</v>
      </c>
      <c r="W391">
        <v>28.9</v>
      </c>
      <c r="X391">
        <v>0.33923604043693606</v>
      </c>
    </row>
    <row r="392" spans="1:24" x14ac:dyDescent="0.3">
      <c r="A392" t="s">
        <v>2723</v>
      </c>
      <c r="B392" t="s">
        <v>2724</v>
      </c>
      <c r="C392" s="1">
        <v>43486</v>
      </c>
      <c r="D392" s="1">
        <v>43491</v>
      </c>
      <c r="E392" t="s">
        <v>54</v>
      </c>
      <c r="F392" t="s">
        <v>2725</v>
      </c>
      <c r="G392" t="s">
        <v>2726</v>
      </c>
      <c r="H392" t="s">
        <v>95</v>
      </c>
      <c r="I392" t="s">
        <v>30</v>
      </c>
      <c r="J392" t="s">
        <v>443</v>
      </c>
      <c r="K392" t="s">
        <v>76</v>
      </c>
      <c r="L392" t="s">
        <v>444</v>
      </c>
      <c r="M392" t="s">
        <v>34</v>
      </c>
      <c r="N392" t="s">
        <v>2727</v>
      </c>
      <c r="O392" t="s">
        <v>49</v>
      </c>
      <c r="P392" t="s">
        <v>111</v>
      </c>
      <c r="Q392" t="s">
        <v>2728</v>
      </c>
      <c r="R392">
        <v>348.20800000000003</v>
      </c>
      <c r="S392">
        <v>7</v>
      </c>
      <c r="T392">
        <v>0.2</v>
      </c>
      <c r="U392">
        <v>30.4682</v>
      </c>
      <c r="V392">
        <v>317.7398</v>
      </c>
      <c r="W392">
        <v>278.56640000000004</v>
      </c>
      <c r="X392">
        <v>2.2030604916349793E-2</v>
      </c>
    </row>
    <row r="393" spans="1:24" x14ac:dyDescent="0.3">
      <c r="A393" t="s">
        <v>2729</v>
      </c>
      <c r="B393" t="s">
        <v>2730</v>
      </c>
      <c r="C393" s="1">
        <v>43265</v>
      </c>
      <c r="D393" s="1">
        <v>43268</v>
      </c>
      <c r="E393" t="s">
        <v>180</v>
      </c>
      <c r="F393" t="s">
        <v>2731</v>
      </c>
      <c r="G393" t="s">
        <v>2732</v>
      </c>
      <c r="H393" t="s">
        <v>95</v>
      </c>
      <c r="I393" t="s">
        <v>30</v>
      </c>
      <c r="J393" t="s">
        <v>126</v>
      </c>
      <c r="K393" t="s">
        <v>45</v>
      </c>
      <c r="L393" t="s">
        <v>343</v>
      </c>
      <c r="M393" t="s">
        <v>47</v>
      </c>
      <c r="N393" t="s">
        <v>2733</v>
      </c>
      <c r="O393" t="s">
        <v>49</v>
      </c>
      <c r="P393" t="s">
        <v>129</v>
      </c>
      <c r="Q393" t="s">
        <v>2734</v>
      </c>
      <c r="R393">
        <v>7.04</v>
      </c>
      <c r="S393">
        <v>4</v>
      </c>
      <c r="T393">
        <v>0</v>
      </c>
      <c r="U393">
        <v>2.0415999999999999</v>
      </c>
      <c r="V393">
        <v>4.9984000000000002</v>
      </c>
      <c r="W393">
        <v>7.04</v>
      </c>
      <c r="X393">
        <v>0.80025608194622277</v>
      </c>
    </row>
    <row r="394" spans="1:24" x14ac:dyDescent="0.3">
      <c r="A394" t="s">
        <v>2735</v>
      </c>
      <c r="B394" t="s">
        <v>2736</v>
      </c>
      <c r="C394" s="1">
        <v>43394</v>
      </c>
      <c r="D394" s="1">
        <v>43400</v>
      </c>
      <c r="E394" t="s">
        <v>54</v>
      </c>
      <c r="F394" t="s">
        <v>2737</v>
      </c>
      <c r="G394" t="s">
        <v>2738</v>
      </c>
      <c r="H394" t="s">
        <v>29</v>
      </c>
      <c r="I394" t="s">
        <v>30</v>
      </c>
      <c r="J394" t="s">
        <v>2449</v>
      </c>
      <c r="K394" t="s">
        <v>45</v>
      </c>
      <c r="L394" t="s">
        <v>2450</v>
      </c>
      <c r="M394" t="s">
        <v>47</v>
      </c>
      <c r="N394" t="s">
        <v>2739</v>
      </c>
      <c r="O394" t="s">
        <v>49</v>
      </c>
      <c r="P394" t="s">
        <v>79</v>
      </c>
      <c r="Q394" t="s">
        <v>2740</v>
      </c>
      <c r="R394">
        <v>22.92</v>
      </c>
      <c r="S394">
        <v>3</v>
      </c>
      <c r="T394">
        <v>0</v>
      </c>
      <c r="U394">
        <v>11.2308</v>
      </c>
      <c r="V394">
        <v>11.689200000000001</v>
      </c>
      <c r="W394">
        <v>22.92</v>
      </c>
      <c r="X394">
        <v>0.25664716148239397</v>
      </c>
    </row>
    <row r="395" spans="1:24" x14ac:dyDescent="0.3">
      <c r="A395" t="s">
        <v>2741</v>
      </c>
      <c r="B395" t="s">
        <v>2742</v>
      </c>
      <c r="C395" s="1">
        <v>43303</v>
      </c>
      <c r="D395" s="1">
        <v>43305</v>
      </c>
      <c r="E395" t="s">
        <v>26</v>
      </c>
      <c r="F395" t="s">
        <v>2743</v>
      </c>
      <c r="G395" t="s">
        <v>2744</v>
      </c>
      <c r="H395" t="s">
        <v>43</v>
      </c>
      <c r="I395" t="s">
        <v>30</v>
      </c>
      <c r="J395" t="s">
        <v>126</v>
      </c>
      <c r="K395" t="s">
        <v>45</v>
      </c>
      <c r="L395" t="s">
        <v>957</v>
      </c>
      <c r="M395" t="s">
        <v>47</v>
      </c>
      <c r="N395" t="s">
        <v>2745</v>
      </c>
      <c r="O395" t="s">
        <v>49</v>
      </c>
      <c r="P395" t="s">
        <v>50</v>
      </c>
      <c r="Q395" t="s">
        <v>2746</v>
      </c>
      <c r="R395">
        <v>6.3</v>
      </c>
      <c r="S395">
        <v>2</v>
      </c>
      <c r="T395">
        <v>0</v>
      </c>
      <c r="U395">
        <v>3.024</v>
      </c>
      <c r="V395">
        <v>3.2759999999999998</v>
      </c>
      <c r="W395">
        <v>6.3</v>
      </c>
      <c r="X395">
        <v>0.61050061050061055</v>
      </c>
    </row>
    <row r="396" spans="1:24" x14ac:dyDescent="0.3">
      <c r="A396" t="s">
        <v>2747</v>
      </c>
      <c r="B396" t="s">
        <v>2748</v>
      </c>
      <c r="C396" s="1">
        <v>42982</v>
      </c>
      <c r="D396" s="1">
        <v>42986</v>
      </c>
      <c r="E396" t="s">
        <v>54</v>
      </c>
      <c r="F396" t="s">
        <v>2749</v>
      </c>
      <c r="G396" t="s">
        <v>2750</v>
      </c>
      <c r="H396" t="s">
        <v>29</v>
      </c>
      <c r="I396" t="s">
        <v>30</v>
      </c>
      <c r="J396" t="s">
        <v>2751</v>
      </c>
      <c r="K396" t="s">
        <v>1136</v>
      </c>
      <c r="L396" t="s">
        <v>2752</v>
      </c>
      <c r="M396" t="s">
        <v>34</v>
      </c>
      <c r="N396" t="s">
        <v>2676</v>
      </c>
      <c r="O396" t="s">
        <v>49</v>
      </c>
      <c r="P396" t="s">
        <v>79</v>
      </c>
      <c r="Q396" t="s">
        <v>2753</v>
      </c>
      <c r="R396">
        <v>279.89999999999998</v>
      </c>
      <c r="S396">
        <v>5</v>
      </c>
      <c r="T396">
        <v>0</v>
      </c>
      <c r="U396">
        <v>137.15100000000001</v>
      </c>
      <c r="V396">
        <v>142.74899999999997</v>
      </c>
      <c r="W396">
        <v>279.89999999999998</v>
      </c>
      <c r="X396">
        <v>3.5026515071909445E-2</v>
      </c>
    </row>
    <row r="397" spans="1:24" x14ac:dyDescent="0.3">
      <c r="A397" t="s">
        <v>2754</v>
      </c>
      <c r="B397" t="s">
        <v>2755</v>
      </c>
      <c r="C397" s="1">
        <v>43416</v>
      </c>
      <c r="D397" s="1">
        <v>43419</v>
      </c>
      <c r="E397" t="s">
        <v>26</v>
      </c>
      <c r="F397" t="s">
        <v>2756</v>
      </c>
      <c r="G397" t="s">
        <v>2757</v>
      </c>
      <c r="H397" t="s">
        <v>43</v>
      </c>
      <c r="I397" t="s">
        <v>30</v>
      </c>
      <c r="J397" t="s">
        <v>2758</v>
      </c>
      <c r="K397" t="s">
        <v>253</v>
      </c>
      <c r="L397" t="s">
        <v>2759</v>
      </c>
      <c r="M397" t="s">
        <v>99</v>
      </c>
      <c r="N397" t="s">
        <v>2760</v>
      </c>
      <c r="O397" t="s">
        <v>49</v>
      </c>
      <c r="P397" t="s">
        <v>195</v>
      </c>
      <c r="Q397" t="s">
        <v>2761</v>
      </c>
      <c r="R397">
        <v>287.52</v>
      </c>
      <c r="S397">
        <v>8</v>
      </c>
      <c r="T397">
        <v>0</v>
      </c>
      <c r="U397">
        <v>129.38399999999999</v>
      </c>
      <c r="V397">
        <v>158.136</v>
      </c>
      <c r="W397">
        <v>287.52</v>
      </c>
      <c r="X397">
        <v>5.0589366115242576E-2</v>
      </c>
    </row>
    <row r="398" spans="1:24" x14ac:dyDescent="0.3">
      <c r="A398" t="s">
        <v>2762</v>
      </c>
      <c r="B398" t="s">
        <v>2763</v>
      </c>
      <c r="C398" s="1">
        <v>42829</v>
      </c>
      <c r="D398" s="1">
        <v>42829</v>
      </c>
      <c r="E398" t="s">
        <v>1152</v>
      </c>
      <c r="F398" t="s">
        <v>2764</v>
      </c>
      <c r="G398" t="s">
        <v>2765</v>
      </c>
      <c r="H398" t="s">
        <v>29</v>
      </c>
      <c r="I398" t="s">
        <v>30</v>
      </c>
      <c r="J398" t="s">
        <v>2766</v>
      </c>
      <c r="K398" t="s">
        <v>235</v>
      </c>
      <c r="L398" t="s">
        <v>2767</v>
      </c>
      <c r="M398" t="s">
        <v>99</v>
      </c>
      <c r="N398" t="s">
        <v>2768</v>
      </c>
      <c r="O398" t="s">
        <v>49</v>
      </c>
      <c r="P398" t="s">
        <v>101</v>
      </c>
      <c r="Q398" t="s">
        <v>2769</v>
      </c>
      <c r="R398">
        <v>644.07600000000002</v>
      </c>
      <c r="S398">
        <v>2</v>
      </c>
      <c r="T398">
        <v>0.1</v>
      </c>
      <c r="U398">
        <v>107.346</v>
      </c>
      <c r="V398">
        <v>536.73</v>
      </c>
      <c r="W398">
        <v>579.66840000000002</v>
      </c>
      <c r="X398">
        <v>3.7262683285823411E-3</v>
      </c>
    </row>
    <row r="399" spans="1:24" x14ac:dyDescent="0.3">
      <c r="A399" t="s">
        <v>2770</v>
      </c>
      <c r="B399" t="s">
        <v>2771</v>
      </c>
      <c r="C399" s="1">
        <v>43645</v>
      </c>
      <c r="D399" s="1">
        <v>43650</v>
      </c>
      <c r="E399" t="s">
        <v>54</v>
      </c>
      <c r="F399" t="s">
        <v>2772</v>
      </c>
      <c r="G399" t="s">
        <v>2773</v>
      </c>
      <c r="H399" t="s">
        <v>29</v>
      </c>
      <c r="I399" t="s">
        <v>30</v>
      </c>
      <c r="J399" t="s">
        <v>385</v>
      </c>
      <c r="K399" t="s">
        <v>225</v>
      </c>
      <c r="L399" t="s">
        <v>386</v>
      </c>
      <c r="M399" t="s">
        <v>99</v>
      </c>
      <c r="N399" t="s">
        <v>2774</v>
      </c>
      <c r="O399" t="s">
        <v>49</v>
      </c>
      <c r="P399" t="s">
        <v>101</v>
      </c>
      <c r="Q399" t="s">
        <v>2775</v>
      </c>
      <c r="R399">
        <v>362.94</v>
      </c>
      <c r="S399">
        <v>3</v>
      </c>
      <c r="T399">
        <v>0</v>
      </c>
      <c r="U399">
        <v>90.734999999999999</v>
      </c>
      <c r="V399">
        <v>272.20499999999998</v>
      </c>
      <c r="W399">
        <v>362.94</v>
      </c>
      <c r="X399">
        <v>1.1021105416873313E-2</v>
      </c>
    </row>
    <row r="400" spans="1:24" x14ac:dyDescent="0.3">
      <c r="A400" t="s">
        <v>2776</v>
      </c>
      <c r="B400" t="s">
        <v>2777</v>
      </c>
      <c r="C400" s="1">
        <v>42614</v>
      </c>
      <c r="D400" s="1">
        <v>42618</v>
      </c>
      <c r="E400" t="s">
        <v>26</v>
      </c>
      <c r="F400" t="s">
        <v>2778</v>
      </c>
      <c r="G400" t="s">
        <v>2779</v>
      </c>
      <c r="H400" t="s">
        <v>29</v>
      </c>
      <c r="I400" t="s">
        <v>30</v>
      </c>
      <c r="J400" t="s">
        <v>2780</v>
      </c>
      <c r="K400" t="s">
        <v>45</v>
      </c>
      <c r="L400" t="s">
        <v>2781</v>
      </c>
      <c r="M400" t="s">
        <v>47</v>
      </c>
      <c r="N400" t="s">
        <v>2782</v>
      </c>
      <c r="O400" t="s">
        <v>49</v>
      </c>
      <c r="P400" t="s">
        <v>129</v>
      </c>
      <c r="Q400" t="s">
        <v>2783</v>
      </c>
      <c r="R400">
        <v>53.94</v>
      </c>
      <c r="S400">
        <v>3</v>
      </c>
      <c r="T400">
        <v>0</v>
      </c>
      <c r="U400">
        <v>15.6426</v>
      </c>
      <c r="V400">
        <v>38.297399999999996</v>
      </c>
      <c r="W400">
        <v>53.94</v>
      </c>
      <c r="X400">
        <v>7.8334299456359974E-2</v>
      </c>
    </row>
    <row r="401" spans="1:24" x14ac:dyDescent="0.3">
      <c r="A401" t="s">
        <v>2784</v>
      </c>
      <c r="B401" t="s">
        <v>2785</v>
      </c>
      <c r="C401" s="1">
        <v>42432</v>
      </c>
      <c r="D401" s="1">
        <v>42437</v>
      </c>
      <c r="E401" t="s">
        <v>54</v>
      </c>
      <c r="F401" t="s">
        <v>2786</v>
      </c>
      <c r="G401" t="s">
        <v>2787</v>
      </c>
      <c r="H401" t="s">
        <v>95</v>
      </c>
      <c r="I401" t="s">
        <v>30</v>
      </c>
      <c r="J401" t="s">
        <v>261</v>
      </c>
      <c r="K401" t="s">
        <v>262</v>
      </c>
      <c r="L401" t="s">
        <v>459</v>
      </c>
      <c r="M401" t="s">
        <v>147</v>
      </c>
      <c r="N401" t="s">
        <v>2788</v>
      </c>
      <c r="O401" t="s">
        <v>186</v>
      </c>
      <c r="P401" t="s">
        <v>187</v>
      </c>
      <c r="Q401" t="s">
        <v>2789</v>
      </c>
      <c r="R401">
        <v>9.99</v>
      </c>
      <c r="S401">
        <v>1</v>
      </c>
      <c r="T401">
        <v>0</v>
      </c>
      <c r="U401">
        <v>4.5953999999999997</v>
      </c>
      <c r="V401">
        <v>5.3946000000000005</v>
      </c>
      <c r="W401">
        <v>9.99</v>
      </c>
      <c r="X401">
        <v>0.18537055574092609</v>
      </c>
    </row>
    <row r="402" spans="1:24" x14ac:dyDescent="0.3">
      <c r="A402" t="s">
        <v>2790</v>
      </c>
      <c r="B402" t="s">
        <v>2791</v>
      </c>
      <c r="C402" s="1">
        <v>42494</v>
      </c>
      <c r="D402" s="1">
        <v>42498</v>
      </c>
      <c r="E402" t="s">
        <v>54</v>
      </c>
      <c r="F402" t="s">
        <v>2792</v>
      </c>
      <c r="G402" t="s">
        <v>2793</v>
      </c>
      <c r="H402" t="s">
        <v>29</v>
      </c>
      <c r="I402" t="s">
        <v>30</v>
      </c>
      <c r="J402" t="s">
        <v>1328</v>
      </c>
      <c r="K402" t="s">
        <v>235</v>
      </c>
      <c r="L402" t="s">
        <v>2396</v>
      </c>
      <c r="M402" t="s">
        <v>99</v>
      </c>
      <c r="N402" t="s">
        <v>2252</v>
      </c>
      <c r="O402" t="s">
        <v>49</v>
      </c>
      <c r="P402" t="s">
        <v>89</v>
      </c>
      <c r="Q402" t="s">
        <v>2253</v>
      </c>
      <c r="R402">
        <v>46.8</v>
      </c>
      <c r="S402">
        <v>4</v>
      </c>
      <c r="T402">
        <v>0</v>
      </c>
      <c r="U402">
        <v>21.06</v>
      </c>
      <c r="V402">
        <v>25.74</v>
      </c>
      <c r="W402">
        <v>46.8</v>
      </c>
      <c r="X402">
        <v>0.15540015540015542</v>
      </c>
    </row>
    <row r="403" spans="1:24" x14ac:dyDescent="0.3">
      <c r="A403" t="s">
        <v>2794</v>
      </c>
      <c r="B403" t="s">
        <v>2795</v>
      </c>
      <c r="C403" s="1">
        <v>42731</v>
      </c>
      <c r="D403" s="1">
        <v>42734</v>
      </c>
      <c r="E403" t="s">
        <v>26</v>
      </c>
      <c r="F403" t="s">
        <v>2796</v>
      </c>
      <c r="G403" t="s">
        <v>2797</v>
      </c>
      <c r="H403" t="s">
        <v>95</v>
      </c>
      <c r="I403" t="s">
        <v>30</v>
      </c>
      <c r="J403" t="s">
        <v>44</v>
      </c>
      <c r="K403" t="s">
        <v>45</v>
      </c>
      <c r="L403" t="s">
        <v>279</v>
      </c>
      <c r="M403" t="s">
        <v>47</v>
      </c>
      <c r="N403" t="s">
        <v>2798</v>
      </c>
      <c r="O403" t="s">
        <v>49</v>
      </c>
      <c r="P403" t="s">
        <v>50</v>
      </c>
      <c r="Q403" t="s">
        <v>2799</v>
      </c>
      <c r="R403">
        <v>11.56</v>
      </c>
      <c r="S403">
        <v>4</v>
      </c>
      <c r="T403">
        <v>0</v>
      </c>
      <c r="U403">
        <v>5.4332000000000003</v>
      </c>
      <c r="V403">
        <v>6.1268000000000002</v>
      </c>
      <c r="W403">
        <v>11.56</v>
      </c>
      <c r="X403">
        <v>0.65286936084089575</v>
      </c>
    </row>
    <row r="404" spans="1:24" x14ac:dyDescent="0.3">
      <c r="A404" t="s">
        <v>2800</v>
      </c>
      <c r="B404" t="s">
        <v>2801</v>
      </c>
      <c r="C404" s="1">
        <v>43214</v>
      </c>
      <c r="D404" s="1">
        <v>43217</v>
      </c>
      <c r="E404" t="s">
        <v>26</v>
      </c>
      <c r="F404" t="s">
        <v>2802</v>
      </c>
      <c r="G404" t="s">
        <v>2803</v>
      </c>
      <c r="H404" t="s">
        <v>95</v>
      </c>
      <c r="I404" t="s">
        <v>30</v>
      </c>
      <c r="J404" t="s">
        <v>174</v>
      </c>
      <c r="K404" t="s">
        <v>97</v>
      </c>
      <c r="L404" t="s">
        <v>1373</v>
      </c>
      <c r="M404" t="s">
        <v>99</v>
      </c>
      <c r="N404" t="s">
        <v>2804</v>
      </c>
      <c r="O404" t="s">
        <v>186</v>
      </c>
      <c r="P404" t="s">
        <v>228</v>
      </c>
      <c r="Q404" t="s">
        <v>2805</v>
      </c>
      <c r="R404">
        <v>258.69600000000003</v>
      </c>
      <c r="S404">
        <v>3</v>
      </c>
      <c r="T404">
        <v>0.2</v>
      </c>
      <c r="U404">
        <v>64.674000000000007</v>
      </c>
      <c r="V404">
        <v>194.02200000000002</v>
      </c>
      <c r="W404">
        <v>206.95680000000004</v>
      </c>
      <c r="X404">
        <v>1.5462164084485263E-2</v>
      </c>
    </row>
    <row r="405" spans="1:24" x14ac:dyDescent="0.3">
      <c r="A405" t="s">
        <v>2806</v>
      </c>
      <c r="B405" t="s">
        <v>2807</v>
      </c>
      <c r="C405" s="1">
        <v>42698</v>
      </c>
      <c r="D405" s="1">
        <v>42704</v>
      </c>
      <c r="E405" t="s">
        <v>54</v>
      </c>
      <c r="F405" t="s">
        <v>2808</v>
      </c>
      <c r="G405" t="s">
        <v>2809</v>
      </c>
      <c r="H405" t="s">
        <v>43</v>
      </c>
      <c r="I405" t="s">
        <v>30</v>
      </c>
      <c r="J405" t="s">
        <v>85</v>
      </c>
      <c r="K405" t="s">
        <v>86</v>
      </c>
      <c r="L405" t="s">
        <v>87</v>
      </c>
      <c r="M405" t="s">
        <v>47</v>
      </c>
      <c r="N405" t="s">
        <v>2810</v>
      </c>
      <c r="O405" t="s">
        <v>49</v>
      </c>
      <c r="P405" t="s">
        <v>89</v>
      </c>
      <c r="Q405" t="s">
        <v>2811</v>
      </c>
      <c r="R405">
        <v>12.096</v>
      </c>
      <c r="S405">
        <v>7</v>
      </c>
      <c r="T405">
        <v>0.2</v>
      </c>
      <c r="U405">
        <v>4.2336</v>
      </c>
      <c r="V405">
        <v>7.8624000000000001</v>
      </c>
      <c r="W405">
        <v>9.6768000000000001</v>
      </c>
      <c r="X405">
        <v>0.8903133903133903</v>
      </c>
    </row>
    <row r="406" spans="1:24" x14ac:dyDescent="0.3">
      <c r="A406" t="s">
        <v>2812</v>
      </c>
      <c r="B406" t="s">
        <v>2813</v>
      </c>
      <c r="C406" s="1">
        <v>43522</v>
      </c>
      <c r="D406" s="1">
        <v>43524</v>
      </c>
      <c r="E406" t="s">
        <v>26</v>
      </c>
      <c r="F406" t="s">
        <v>2814</v>
      </c>
      <c r="G406" t="s">
        <v>2815</v>
      </c>
      <c r="H406" t="s">
        <v>95</v>
      </c>
      <c r="I406" t="s">
        <v>30</v>
      </c>
      <c r="J406" t="s">
        <v>44</v>
      </c>
      <c r="K406" t="s">
        <v>45</v>
      </c>
      <c r="L406" t="s">
        <v>46</v>
      </c>
      <c r="M406" t="s">
        <v>47</v>
      </c>
      <c r="N406" t="s">
        <v>1915</v>
      </c>
      <c r="O406" t="s">
        <v>49</v>
      </c>
      <c r="P406" t="s">
        <v>101</v>
      </c>
      <c r="Q406" t="s">
        <v>1916</v>
      </c>
      <c r="R406">
        <v>81.92</v>
      </c>
      <c r="S406">
        <v>4</v>
      </c>
      <c r="T406">
        <v>0</v>
      </c>
      <c r="U406">
        <v>22.118400000000001</v>
      </c>
      <c r="V406">
        <v>59.801600000000001</v>
      </c>
      <c r="W406">
        <v>81.92</v>
      </c>
      <c r="X406">
        <v>6.6887842465753425E-2</v>
      </c>
    </row>
    <row r="407" spans="1:24" x14ac:dyDescent="0.3">
      <c r="A407" t="s">
        <v>2816</v>
      </c>
      <c r="B407" t="s">
        <v>2817</v>
      </c>
      <c r="C407" s="1">
        <v>43678</v>
      </c>
      <c r="D407" s="1">
        <v>43681</v>
      </c>
      <c r="E407" t="s">
        <v>180</v>
      </c>
      <c r="F407" t="s">
        <v>2818</v>
      </c>
      <c r="G407" t="s">
        <v>2819</v>
      </c>
      <c r="H407" t="s">
        <v>29</v>
      </c>
      <c r="I407" t="s">
        <v>30</v>
      </c>
      <c r="J407" t="s">
        <v>443</v>
      </c>
      <c r="K407" t="s">
        <v>76</v>
      </c>
      <c r="L407" t="s">
        <v>444</v>
      </c>
      <c r="M407" t="s">
        <v>34</v>
      </c>
      <c r="N407" t="s">
        <v>2820</v>
      </c>
      <c r="O407" t="s">
        <v>186</v>
      </c>
      <c r="P407" t="s">
        <v>187</v>
      </c>
      <c r="Q407" t="s">
        <v>2821</v>
      </c>
      <c r="R407">
        <v>271.95999999999998</v>
      </c>
      <c r="S407">
        <v>5</v>
      </c>
      <c r="T407">
        <v>0.2</v>
      </c>
      <c r="U407">
        <v>16.997499999999999</v>
      </c>
      <c r="V407">
        <v>254.96249999999998</v>
      </c>
      <c r="W407">
        <v>217.56799999999998</v>
      </c>
      <c r="X407">
        <v>1.9610727067706037E-2</v>
      </c>
    </row>
    <row r="408" spans="1:24" x14ac:dyDescent="0.3">
      <c r="A408" t="s">
        <v>2822</v>
      </c>
      <c r="B408" t="s">
        <v>2823</v>
      </c>
      <c r="C408" s="1">
        <v>43295</v>
      </c>
      <c r="D408" s="1">
        <v>43299</v>
      </c>
      <c r="E408" t="s">
        <v>26</v>
      </c>
      <c r="F408" t="s">
        <v>2824</v>
      </c>
      <c r="G408" t="s">
        <v>2825</v>
      </c>
      <c r="H408" t="s">
        <v>43</v>
      </c>
      <c r="I408" t="s">
        <v>30</v>
      </c>
      <c r="J408" t="s">
        <v>261</v>
      </c>
      <c r="K408" t="s">
        <v>262</v>
      </c>
      <c r="L408" t="s">
        <v>312</v>
      </c>
      <c r="M408" t="s">
        <v>147</v>
      </c>
      <c r="N408" t="s">
        <v>2826</v>
      </c>
      <c r="O408" t="s">
        <v>49</v>
      </c>
      <c r="P408" t="s">
        <v>111</v>
      </c>
      <c r="Q408" t="s">
        <v>2827</v>
      </c>
      <c r="R408">
        <v>11.21</v>
      </c>
      <c r="S408">
        <v>1</v>
      </c>
      <c r="T408">
        <v>0</v>
      </c>
      <c r="U408">
        <v>3.363</v>
      </c>
      <c r="V408">
        <v>7.8470000000000013</v>
      </c>
      <c r="W408">
        <v>11.21</v>
      </c>
      <c r="X408">
        <v>0.12743723716069832</v>
      </c>
    </row>
    <row r="409" spans="1:24" x14ac:dyDescent="0.3">
      <c r="A409" t="s">
        <v>2828</v>
      </c>
      <c r="B409" t="s">
        <v>2829</v>
      </c>
      <c r="C409" s="1">
        <v>43717</v>
      </c>
      <c r="D409" s="1">
        <v>43721</v>
      </c>
      <c r="E409" t="s">
        <v>54</v>
      </c>
      <c r="F409" t="s">
        <v>2830</v>
      </c>
      <c r="G409" t="s">
        <v>2831</v>
      </c>
      <c r="H409" t="s">
        <v>43</v>
      </c>
      <c r="I409" t="s">
        <v>30</v>
      </c>
      <c r="J409" t="s">
        <v>144</v>
      </c>
      <c r="K409" t="s">
        <v>145</v>
      </c>
      <c r="L409" t="s">
        <v>634</v>
      </c>
      <c r="M409" t="s">
        <v>147</v>
      </c>
      <c r="N409" t="s">
        <v>849</v>
      </c>
      <c r="O409" t="s">
        <v>36</v>
      </c>
      <c r="P409" t="s">
        <v>149</v>
      </c>
      <c r="Q409" t="s">
        <v>850</v>
      </c>
      <c r="R409">
        <v>141.37200000000001</v>
      </c>
      <c r="S409">
        <v>2</v>
      </c>
      <c r="T409">
        <v>0.3</v>
      </c>
      <c r="U409">
        <v>-48.470399999999998</v>
      </c>
      <c r="V409">
        <v>189.8424</v>
      </c>
      <c r="W409">
        <v>98.960400000000007</v>
      </c>
      <c r="X409">
        <v>1.0535054339810284E-2</v>
      </c>
    </row>
    <row r="410" spans="1:24" x14ac:dyDescent="0.3">
      <c r="A410" t="s">
        <v>2832</v>
      </c>
      <c r="B410" t="s">
        <v>2833</v>
      </c>
      <c r="C410" s="1">
        <v>42563</v>
      </c>
      <c r="D410" s="1">
        <v>42567</v>
      </c>
      <c r="E410" t="s">
        <v>54</v>
      </c>
      <c r="F410" t="s">
        <v>2834</v>
      </c>
      <c r="G410" t="s">
        <v>2835</v>
      </c>
      <c r="H410" t="s">
        <v>95</v>
      </c>
      <c r="I410" t="s">
        <v>30</v>
      </c>
      <c r="J410" t="s">
        <v>44</v>
      </c>
      <c r="K410" t="s">
        <v>45</v>
      </c>
      <c r="L410" t="s">
        <v>46</v>
      </c>
      <c r="M410" t="s">
        <v>47</v>
      </c>
      <c r="N410" t="s">
        <v>120</v>
      </c>
      <c r="O410" t="s">
        <v>49</v>
      </c>
      <c r="P410" t="s">
        <v>111</v>
      </c>
      <c r="Q410" t="s">
        <v>121</v>
      </c>
      <c r="R410">
        <v>249.75</v>
      </c>
      <c r="S410">
        <v>9</v>
      </c>
      <c r="T410">
        <v>0</v>
      </c>
      <c r="U410">
        <v>44.954999999999998</v>
      </c>
      <c r="V410">
        <v>204.79500000000002</v>
      </c>
      <c r="W410">
        <v>249.75</v>
      </c>
      <c r="X410">
        <v>4.3946385409800039E-2</v>
      </c>
    </row>
    <row r="411" spans="1:24" x14ac:dyDescent="0.3">
      <c r="A411" t="s">
        <v>2836</v>
      </c>
      <c r="B411" t="s">
        <v>2837</v>
      </c>
      <c r="C411" s="1">
        <v>43039</v>
      </c>
      <c r="D411" s="1">
        <v>43041</v>
      </c>
      <c r="E411" t="s">
        <v>26</v>
      </c>
      <c r="F411" t="s">
        <v>2838</v>
      </c>
      <c r="G411" t="s">
        <v>2839</v>
      </c>
      <c r="H411" t="s">
        <v>29</v>
      </c>
      <c r="I411" t="s">
        <v>30</v>
      </c>
      <c r="J411" t="s">
        <v>2840</v>
      </c>
      <c r="K411" t="s">
        <v>262</v>
      </c>
      <c r="L411" t="s">
        <v>2841</v>
      </c>
      <c r="M411" t="s">
        <v>147</v>
      </c>
      <c r="N411" t="s">
        <v>1345</v>
      </c>
      <c r="O411" t="s">
        <v>49</v>
      </c>
      <c r="P411" t="s">
        <v>129</v>
      </c>
      <c r="Q411" t="s">
        <v>1346</v>
      </c>
      <c r="R411">
        <v>2.78</v>
      </c>
      <c r="S411">
        <v>2</v>
      </c>
      <c r="T411">
        <v>0</v>
      </c>
      <c r="U411">
        <v>0.7228</v>
      </c>
      <c r="V411">
        <v>2.0571999999999999</v>
      </c>
      <c r="W411">
        <v>2.78</v>
      </c>
      <c r="X411">
        <v>0.97219521679953336</v>
      </c>
    </row>
    <row r="412" spans="1:24" x14ac:dyDescent="0.3">
      <c r="A412" t="s">
        <v>2842</v>
      </c>
      <c r="B412" t="s">
        <v>2843</v>
      </c>
      <c r="C412" s="1">
        <v>43250</v>
      </c>
      <c r="D412" s="1">
        <v>43252</v>
      </c>
      <c r="E412" t="s">
        <v>180</v>
      </c>
      <c r="F412" t="s">
        <v>2844</v>
      </c>
      <c r="G412" t="s">
        <v>2845</v>
      </c>
      <c r="H412" t="s">
        <v>43</v>
      </c>
      <c r="I412" t="s">
        <v>30</v>
      </c>
      <c r="J412" t="s">
        <v>949</v>
      </c>
      <c r="K412" t="s">
        <v>476</v>
      </c>
      <c r="L412" t="s">
        <v>950</v>
      </c>
      <c r="M412" t="s">
        <v>147</v>
      </c>
      <c r="N412" t="s">
        <v>2846</v>
      </c>
      <c r="O412" t="s">
        <v>186</v>
      </c>
      <c r="P412" t="s">
        <v>2096</v>
      </c>
      <c r="Q412" t="s">
        <v>2847</v>
      </c>
      <c r="R412">
        <v>839.98800000000006</v>
      </c>
      <c r="S412">
        <v>2</v>
      </c>
      <c r="T412">
        <v>0.4</v>
      </c>
      <c r="U412">
        <v>69.998999999999995</v>
      </c>
      <c r="V412">
        <v>769.98900000000003</v>
      </c>
      <c r="W412">
        <v>503.99279999999999</v>
      </c>
      <c r="X412">
        <v>2.5974397036840785E-3</v>
      </c>
    </row>
    <row r="413" spans="1:24" x14ac:dyDescent="0.3">
      <c r="A413" t="s">
        <v>2848</v>
      </c>
      <c r="B413" t="s">
        <v>2849</v>
      </c>
      <c r="C413" s="1">
        <v>42593</v>
      </c>
      <c r="D413" s="1">
        <v>42597</v>
      </c>
      <c r="E413" t="s">
        <v>54</v>
      </c>
      <c r="F413" t="s">
        <v>2850</v>
      </c>
      <c r="G413" t="s">
        <v>2851</v>
      </c>
      <c r="H413" t="s">
        <v>29</v>
      </c>
      <c r="I413" t="s">
        <v>30</v>
      </c>
      <c r="J413" t="s">
        <v>85</v>
      </c>
      <c r="K413" t="s">
        <v>86</v>
      </c>
      <c r="L413" t="s">
        <v>606</v>
      </c>
      <c r="M413" t="s">
        <v>47</v>
      </c>
      <c r="N413" t="s">
        <v>2852</v>
      </c>
      <c r="O413" t="s">
        <v>36</v>
      </c>
      <c r="P413" t="s">
        <v>69</v>
      </c>
      <c r="Q413" t="s">
        <v>2853</v>
      </c>
      <c r="R413">
        <v>12.35</v>
      </c>
      <c r="S413">
        <v>1</v>
      </c>
      <c r="T413">
        <v>0</v>
      </c>
      <c r="U413">
        <v>5.4340000000000002</v>
      </c>
      <c r="V413">
        <v>6.9159999999999995</v>
      </c>
      <c r="W413">
        <v>12.35</v>
      </c>
      <c r="X413">
        <v>0.14459224985540775</v>
      </c>
    </row>
    <row r="414" spans="1:24" x14ac:dyDescent="0.3">
      <c r="A414" t="s">
        <v>2854</v>
      </c>
      <c r="B414" t="s">
        <v>2855</v>
      </c>
      <c r="C414" s="1">
        <v>43599</v>
      </c>
      <c r="D414" s="1">
        <v>43606</v>
      </c>
      <c r="E414" t="s">
        <v>54</v>
      </c>
      <c r="F414" t="s">
        <v>2856</v>
      </c>
      <c r="G414" t="s">
        <v>2857</v>
      </c>
      <c r="H414" t="s">
        <v>29</v>
      </c>
      <c r="I414" t="s">
        <v>30</v>
      </c>
      <c r="J414" t="s">
        <v>2858</v>
      </c>
      <c r="K414" t="s">
        <v>1329</v>
      </c>
      <c r="L414" t="s">
        <v>2859</v>
      </c>
      <c r="M414" t="s">
        <v>34</v>
      </c>
      <c r="N414" t="s">
        <v>2860</v>
      </c>
      <c r="O414" t="s">
        <v>49</v>
      </c>
      <c r="P414" t="s">
        <v>195</v>
      </c>
      <c r="Q414" t="s">
        <v>2861</v>
      </c>
      <c r="R414">
        <v>48.69</v>
      </c>
      <c r="S414">
        <v>9</v>
      </c>
      <c r="T414">
        <v>0</v>
      </c>
      <c r="U414">
        <v>23.8581</v>
      </c>
      <c r="V414">
        <v>24.831899999999997</v>
      </c>
      <c r="W414">
        <v>48.69</v>
      </c>
      <c r="X414">
        <v>0.36243702656663407</v>
      </c>
    </row>
    <row r="415" spans="1:24" x14ac:dyDescent="0.3">
      <c r="A415" t="s">
        <v>2862</v>
      </c>
      <c r="B415" t="s">
        <v>2863</v>
      </c>
      <c r="C415" s="1">
        <v>42716</v>
      </c>
      <c r="D415" s="1">
        <v>42718</v>
      </c>
      <c r="E415" t="s">
        <v>26</v>
      </c>
      <c r="F415" t="s">
        <v>2864</v>
      </c>
      <c r="G415" t="s">
        <v>2865</v>
      </c>
      <c r="H415" t="s">
        <v>29</v>
      </c>
      <c r="I415" t="s">
        <v>30</v>
      </c>
      <c r="J415" t="s">
        <v>2866</v>
      </c>
      <c r="K415" t="s">
        <v>45</v>
      </c>
      <c r="L415" t="s">
        <v>2867</v>
      </c>
      <c r="M415" t="s">
        <v>47</v>
      </c>
      <c r="N415" t="s">
        <v>2868</v>
      </c>
      <c r="O415" t="s">
        <v>36</v>
      </c>
      <c r="P415" t="s">
        <v>61</v>
      </c>
      <c r="Q415" t="s">
        <v>2869</v>
      </c>
      <c r="R415">
        <v>764.68799999999999</v>
      </c>
      <c r="S415">
        <v>6</v>
      </c>
      <c r="T415">
        <v>0.2</v>
      </c>
      <c r="U415">
        <v>95.585999999999999</v>
      </c>
      <c r="V415">
        <v>669.10199999999998</v>
      </c>
      <c r="W415">
        <v>611.75040000000001</v>
      </c>
      <c r="X415">
        <v>8.967242662553691E-3</v>
      </c>
    </row>
    <row r="416" spans="1:24" x14ac:dyDescent="0.3">
      <c r="A416" t="s">
        <v>2870</v>
      </c>
      <c r="B416" t="s">
        <v>2871</v>
      </c>
      <c r="C416" s="1">
        <v>43534</v>
      </c>
      <c r="D416" s="1">
        <v>43538</v>
      </c>
      <c r="E416" t="s">
        <v>54</v>
      </c>
      <c r="F416" t="s">
        <v>2872</v>
      </c>
      <c r="G416" t="s">
        <v>2873</v>
      </c>
      <c r="H416" t="s">
        <v>95</v>
      </c>
      <c r="I416" t="s">
        <v>30</v>
      </c>
      <c r="J416" t="s">
        <v>1969</v>
      </c>
      <c r="K416" t="s">
        <v>145</v>
      </c>
      <c r="L416" t="s">
        <v>1970</v>
      </c>
      <c r="M416" t="s">
        <v>147</v>
      </c>
      <c r="N416" t="s">
        <v>2874</v>
      </c>
      <c r="O416" t="s">
        <v>49</v>
      </c>
      <c r="P416" t="s">
        <v>129</v>
      </c>
      <c r="Q416" t="s">
        <v>2875</v>
      </c>
      <c r="R416">
        <v>5.2480000000000002</v>
      </c>
      <c r="S416">
        <v>2</v>
      </c>
      <c r="T416">
        <v>0.2</v>
      </c>
      <c r="U416">
        <v>0.59040000000000004</v>
      </c>
      <c r="V416">
        <v>4.6576000000000004</v>
      </c>
      <c r="W416">
        <v>4.1984000000000004</v>
      </c>
      <c r="X416">
        <v>0.42940570250772925</v>
      </c>
    </row>
    <row r="417" spans="1:24" x14ac:dyDescent="0.3">
      <c r="A417" t="s">
        <v>2876</v>
      </c>
      <c r="B417" t="s">
        <v>2877</v>
      </c>
      <c r="C417" s="1">
        <v>43761</v>
      </c>
      <c r="D417" s="1">
        <v>43765</v>
      </c>
      <c r="E417" t="s">
        <v>54</v>
      </c>
      <c r="F417" t="s">
        <v>2878</v>
      </c>
      <c r="G417" t="s">
        <v>2879</v>
      </c>
      <c r="H417" t="s">
        <v>29</v>
      </c>
      <c r="I417" t="s">
        <v>30</v>
      </c>
      <c r="J417" t="s">
        <v>1359</v>
      </c>
      <c r="K417" t="s">
        <v>58</v>
      </c>
      <c r="L417" t="s">
        <v>1360</v>
      </c>
      <c r="M417" t="s">
        <v>34</v>
      </c>
      <c r="N417" t="s">
        <v>2880</v>
      </c>
      <c r="O417" t="s">
        <v>186</v>
      </c>
      <c r="P417" t="s">
        <v>187</v>
      </c>
      <c r="Q417" t="s">
        <v>2881</v>
      </c>
      <c r="R417">
        <v>863.88</v>
      </c>
      <c r="S417">
        <v>3</v>
      </c>
      <c r="T417">
        <v>0.2</v>
      </c>
      <c r="U417">
        <v>107.985</v>
      </c>
      <c r="V417">
        <v>755.89499999999998</v>
      </c>
      <c r="W417">
        <v>691.10400000000004</v>
      </c>
      <c r="X417">
        <v>3.9688051911971898E-3</v>
      </c>
    </row>
    <row r="418" spans="1:24" x14ac:dyDescent="0.3">
      <c r="A418" t="s">
        <v>2882</v>
      </c>
      <c r="B418" t="s">
        <v>2883</v>
      </c>
      <c r="C418" s="1">
        <v>43401</v>
      </c>
      <c r="D418" s="1">
        <v>43408</v>
      </c>
      <c r="E418" t="s">
        <v>54</v>
      </c>
      <c r="F418" t="s">
        <v>2884</v>
      </c>
      <c r="G418" t="s">
        <v>2885</v>
      </c>
      <c r="H418" t="s">
        <v>43</v>
      </c>
      <c r="I418" t="s">
        <v>30</v>
      </c>
      <c r="J418" t="s">
        <v>2886</v>
      </c>
      <c r="K418" t="s">
        <v>76</v>
      </c>
      <c r="L418" t="s">
        <v>2887</v>
      </c>
      <c r="M418" t="s">
        <v>34</v>
      </c>
      <c r="N418" t="s">
        <v>2888</v>
      </c>
      <c r="O418" t="s">
        <v>49</v>
      </c>
      <c r="P418" t="s">
        <v>89</v>
      </c>
      <c r="Q418" t="s">
        <v>2889</v>
      </c>
      <c r="R418">
        <v>17.616</v>
      </c>
      <c r="S418">
        <v>4</v>
      </c>
      <c r="T418">
        <v>0.7</v>
      </c>
      <c r="U418">
        <v>-14.0928</v>
      </c>
      <c r="V418">
        <v>31.7088</v>
      </c>
      <c r="W418">
        <v>5.2848000000000006</v>
      </c>
      <c r="X418">
        <v>0.12614794631143406</v>
      </c>
    </row>
    <row r="419" spans="1:24" x14ac:dyDescent="0.3">
      <c r="A419" t="s">
        <v>2890</v>
      </c>
      <c r="B419" t="s">
        <v>2891</v>
      </c>
      <c r="C419" s="1">
        <v>43374</v>
      </c>
      <c r="D419" s="1">
        <v>43375</v>
      </c>
      <c r="E419" t="s">
        <v>180</v>
      </c>
      <c r="F419" t="s">
        <v>2892</v>
      </c>
      <c r="G419" t="s">
        <v>2893</v>
      </c>
      <c r="H419" t="s">
        <v>29</v>
      </c>
      <c r="I419" t="s">
        <v>30</v>
      </c>
      <c r="J419" t="s">
        <v>2758</v>
      </c>
      <c r="K419" t="s">
        <v>253</v>
      </c>
      <c r="L419" t="s">
        <v>2759</v>
      </c>
      <c r="M419" t="s">
        <v>99</v>
      </c>
      <c r="N419" t="s">
        <v>584</v>
      </c>
      <c r="O419" t="s">
        <v>186</v>
      </c>
      <c r="P419" t="s">
        <v>187</v>
      </c>
      <c r="Q419" t="s">
        <v>585</v>
      </c>
      <c r="R419">
        <v>69.900000000000006</v>
      </c>
      <c r="S419">
        <v>2</v>
      </c>
      <c r="T419">
        <v>0</v>
      </c>
      <c r="U419">
        <v>18.873000000000001</v>
      </c>
      <c r="V419">
        <v>51.027000000000001</v>
      </c>
      <c r="W419">
        <v>69.900000000000006</v>
      </c>
      <c r="X419">
        <v>3.9194936014266955E-2</v>
      </c>
    </row>
    <row r="420" spans="1:24" x14ac:dyDescent="0.3">
      <c r="A420" t="s">
        <v>2894</v>
      </c>
      <c r="B420" t="s">
        <v>2895</v>
      </c>
      <c r="C420" s="1">
        <v>43710</v>
      </c>
      <c r="D420" s="1">
        <v>43715</v>
      </c>
      <c r="E420" t="s">
        <v>54</v>
      </c>
      <c r="F420" t="s">
        <v>2896</v>
      </c>
      <c r="G420" t="s">
        <v>2897</v>
      </c>
      <c r="H420" t="s">
        <v>29</v>
      </c>
      <c r="I420" t="s">
        <v>30</v>
      </c>
      <c r="J420" t="s">
        <v>126</v>
      </c>
      <c r="K420" t="s">
        <v>45</v>
      </c>
      <c r="L420" t="s">
        <v>343</v>
      </c>
      <c r="M420" t="s">
        <v>47</v>
      </c>
      <c r="N420" t="s">
        <v>2898</v>
      </c>
      <c r="O420" t="s">
        <v>49</v>
      </c>
      <c r="P420" t="s">
        <v>129</v>
      </c>
      <c r="Q420" t="s">
        <v>2899</v>
      </c>
      <c r="R420">
        <v>6.57</v>
      </c>
      <c r="S420">
        <v>3</v>
      </c>
      <c r="T420">
        <v>0</v>
      </c>
      <c r="U420">
        <v>1.7739</v>
      </c>
      <c r="V420">
        <v>4.7961</v>
      </c>
      <c r="W420">
        <v>6.57</v>
      </c>
      <c r="X420">
        <v>0.62550822543316442</v>
      </c>
    </row>
    <row r="421" spans="1:24" x14ac:dyDescent="0.3">
      <c r="A421" t="s">
        <v>2900</v>
      </c>
      <c r="B421" t="s">
        <v>2901</v>
      </c>
      <c r="C421" s="1">
        <v>43620</v>
      </c>
      <c r="D421" s="1">
        <v>43624</v>
      </c>
      <c r="E421" t="s">
        <v>54</v>
      </c>
      <c r="F421" t="s">
        <v>2902</v>
      </c>
      <c r="G421" t="s">
        <v>2903</v>
      </c>
      <c r="H421" t="s">
        <v>29</v>
      </c>
      <c r="I421" t="s">
        <v>30</v>
      </c>
      <c r="J421" t="s">
        <v>2904</v>
      </c>
      <c r="K421" t="s">
        <v>335</v>
      </c>
      <c r="L421" t="s">
        <v>2905</v>
      </c>
      <c r="M421" t="s">
        <v>34</v>
      </c>
      <c r="N421" t="s">
        <v>2906</v>
      </c>
      <c r="O421" t="s">
        <v>49</v>
      </c>
      <c r="P421" t="s">
        <v>79</v>
      </c>
      <c r="Q421" t="s">
        <v>2907</v>
      </c>
      <c r="R421">
        <v>12.48</v>
      </c>
      <c r="S421">
        <v>2</v>
      </c>
      <c r="T421">
        <v>0</v>
      </c>
      <c r="U421">
        <v>5.6159999999999997</v>
      </c>
      <c r="V421">
        <v>6.8640000000000008</v>
      </c>
      <c r="W421">
        <v>12.48</v>
      </c>
      <c r="X421">
        <v>0.29137529137529133</v>
      </c>
    </row>
    <row r="422" spans="1:24" x14ac:dyDescent="0.3">
      <c r="A422" t="s">
        <v>2908</v>
      </c>
      <c r="B422" t="s">
        <v>2909</v>
      </c>
      <c r="C422" s="1">
        <v>43222</v>
      </c>
      <c r="D422" s="1">
        <v>43227</v>
      </c>
      <c r="E422" t="s">
        <v>54</v>
      </c>
      <c r="F422" t="s">
        <v>2910</v>
      </c>
      <c r="G422" t="s">
        <v>2911</v>
      </c>
      <c r="H422" t="s">
        <v>29</v>
      </c>
      <c r="I422" t="s">
        <v>30</v>
      </c>
      <c r="J422" t="s">
        <v>174</v>
      </c>
      <c r="K422" t="s">
        <v>97</v>
      </c>
      <c r="L422" t="s">
        <v>1373</v>
      </c>
      <c r="M422" t="s">
        <v>99</v>
      </c>
      <c r="N422" t="s">
        <v>2912</v>
      </c>
      <c r="O422" t="s">
        <v>49</v>
      </c>
      <c r="P422" t="s">
        <v>129</v>
      </c>
      <c r="Q422" t="s">
        <v>2913</v>
      </c>
      <c r="R422">
        <v>86.352000000000004</v>
      </c>
      <c r="S422">
        <v>3</v>
      </c>
      <c r="T422">
        <v>0.2</v>
      </c>
      <c r="U422">
        <v>5.3970000000000002</v>
      </c>
      <c r="V422">
        <v>80.954999999999998</v>
      </c>
      <c r="W422">
        <v>69.081600000000009</v>
      </c>
      <c r="X422">
        <v>3.7057624606262739E-2</v>
      </c>
    </row>
    <row r="423" spans="1:24" x14ac:dyDescent="0.3">
      <c r="A423" t="s">
        <v>2914</v>
      </c>
      <c r="B423" t="s">
        <v>2915</v>
      </c>
      <c r="C423" s="1">
        <v>43277</v>
      </c>
      <c r="D423" s="1">
        <v>43284</v>
      </c>
      <c r="E423" t="s">
        <v>54</v>
      </c>
      <c r="F423" t="s">
        <v>2916</v>
      </c>
      <c r="G423" t="s">
        <v>2917</v>
      </c>
      <c r="H423" t="s">
        <v>29</v>
      </c>
      <c r="I423" t="s">
        <v>30</v>
      </c>
      <c r="J423" t="s">
        <v>2918</v>
      </c>
      <c r="K423" t="s">
        <v>1266</v>
      </c>
      <c r="L423" t="s">
        <v>2919</v>
      </c>
      <c r="M423" t="s">
        <v>147</v>
      </c>
      <c r="N423" t="s">
        <v>2920</v>
      </c>
      <c r="O423" t="s">
        <v>49</v>
      </c>
      <c r="P423" t="s">
        <v>111</v>
      </c>
      <c r="Q423" t="s">
        <v>2921</v>
      </c>
      <c r="R423">
        <v>14.9</v>
      </c>
      <c r="S423">
        <v>5</v>
      </c>
      <c r="T423">
        <v>0</v>
      </c>
      <c r="U423">
        <v>1.0429999999999999</v>
      </c>
      <c r="V423">
        <v>13.857000000000001</v>
      </c>
      <c r="W423">
        <v>14.9</v>
      </c>
      <c r="X423">
        <v>0.36082846214909431</v>
      </c>
    </row>
    <row r="424" spans="1:24" x14ac:dyDescent="0.3">
      <c r="A424" t="s">
        <v>2922</v>
      </c>
      <c r="B424" t="s">
        <v>2923</v>
      </c>
      <c r="C424" s="1">
        <v>43426</v>
      </c>
      <c r="D424" s="1">
        <v>43430</v>
      </c>
      <c r="E424" t="s">
        <v>54</v>
      </c>
      <c r="F424" t="s">
        <v>2924</v>
      </c>
      <c r="G424" t="s">
        <v>2925</v>
      </c>
      <c r="H424" t="s">
        <v>43</v>
      </c>
      <c r="I424" t="s">
        <v>30</v>
      </c>
      <c r="J424" t="s">
        <v>261</v>
      </c>
      <c r="K424" t="s">
        <v>262</v>
      </c>
      <c r="L424" t="s">
        <v>312</v>
      </c>
      <c r="M424" t="s">
        <v>147</v>
      </c>
      <c r="N424" t="s">
        <v>2926</v>
      </c>
      <c r="O424" t="s">
        <v>36</v>
      </c>
      <c r="P424" t="s">
        <v>69</v>
      </c>
      <c r="Q424" t="s">
        <v>2927</v>
      </c>
      <c r="R424">
        <v>39.880000000000003</v>
      </c>
      <c r="S424">
        <v>2</v>
      </c>
      <c r="T424">
        <v>0</v>
      </c>
      <c r="U424">
        <v>11.166399999999999</v>
      </c>
      <c r="V424">
        <v>28.713600000000003</v>
      </c>
      <c r="W424">
        <v>39.880000000000003</v>
      </c>
      <c r="X424">
        <v>6.9653404658419696E-2</v>
      </c>
    </row>
    <row r="425" spans="1:24" x14ac:dyDescent="0.3">
      <c r="A425" t="s">
        <v>2928</v>
      </c>
      <c r="B425" t="s">
        <v>2929</v>
      </c>
      <c r="C425" s="1">
        <v>42880</v>
      </c>
      <c r="D425" s="1">
        <v>42884</v>
      </c>
      <c r="E425" t="s">
        <v>54</v>
      </c>
      <c r="F425" t="s">
        <v>2930</v>
      </c>
      <c r="G425" t="s">
        <v>2931</v>
      </c>
      <c r="H425" t="s">
        <v>29</v>
      </c>
      <c r="I425" t="s">
        <v>30</v>
      </c>
      <c r="J425" t="s">
        <v>2932</v>
      </c>
      <c r="K425" t="s">
        <v>435</v>
      </c>
      <c r="L425" t="s">
        <v>2933</v>
      </c>
      <c r="M425" t="s">
        <v>47</v>
      </c>
      <c r="N425" t="s">
        <v>2934</v>
      </c>
      <c r="O425" t="s">
        <v>49</v>
      </c>
      <c r="P425" t="s">
        <v>101</v>
      </c>
      <c r="Q425" t="s">
        <v>2935</v>
      </c>
      <c r="R425">
        <v>845.72799999999995</v>
      </c>
      <c r="S425">
        <v>13</v>
      </c>
      <c r="T425">
        <v>0.2</v>
      </c>
      <c r="U425">
        <v>84.572800000000001</v>
      </c>
      <c r="V425">
        <v>761.15519999999992</v>
      </c>
      <c r="W425">
        <v>676.58240000000001</v>
      </c>
      <c r="X425">
        <v>1.7079302617915508E-2</v>
      </c>
    </row>
    <row r="426" spans="1:24" x14ac:dyDescent="0.3">
      <c r="A426" t="s">
        <v>2936</v>
      </c>
      <c r="B426" t="s">
        <v>2937</v>
      </c>
      <c r="C426" s="1">
        <v>43829</v>
      </c>
      <c r="D426" s="1">
        <v>43833</v>
      </c>
      <c r="E426" t="s">
        <v>54</v>
      </c>
      <c r="F426" t="s">
        <v>2938</v>
      </c>
      <c r="G426" t="s">
        <v>2939</v>
      </c>
      <c r="H426" t="s">
        <v>43</v>
      </c>
      <c r="I426" t="s">
        <v>30</v>
      </c>
      <c r="J426" t="s">
        <v>705</v>
      </c>
      <c r="K426" t="s">
        <v>45</v>
      </c>
      <c r="L426" t="s">
        <v>2940</v>
      </c>
      <c r="M426" t="s">
        <v>47</v>
      </c>
      <c r="N426" t="s">
        <v>1795</v>
      </c>
      <c r="O426" t="s">
        <v>49</v>
      </c>
      <c r="P426" t="s">
        <v>89</v>
      </c>
      <c r="Q426" t="s">
        <v>1796</v>
      </c>
      <c r="R426">
        <v>13.904</v>
      </c>
      <c r="S426">
        <v>2</v>
      </c>
      <c r="T426">
        <v>0.2</v>
      </c>
      <c r="U426">
        <v>4.5187999999999997</v>
      </c>
      <c r="V426">
        <v>9.3852000000000011</v>
      </c>
      <c r="W426">
        <v>11.123200000000001</v>
      </c>
      <c r="X426">
        <v>0.2131014789242637</v>
      </c>
    </row>
    <row r="427" spans="1:24" x14ac:dyDescent="0.3">
      <c r="A427" t="s">
        <v>2941</v>
      </c>
      <c r="B427" t="s">
        <v>2942</v>
      </c>
      <c r="C427" s="1">
        <v>43442</v>
      </c>
      <c r="D427" s="1">
        <v>43446</v>
      </c>
      <c r="E427" t="s">
        <v>26</v>
      </c>
      <c r="F427" t="s">
        <v>2943</v>
      </c>
      <c r="G427" t="s">
        <v>2944</v>
      </c>
      <c r="H427" t="s">
        <v>43</v>
      </c>
      <c r="I427" t="s">
        <v>30</v>
      </c>
      <c r="J427" t="s">
        <v>414</v>
      </c>
      <c r="K427" t="s">
        <v>225</v>
      </c>
      <c r="L427" t="s">
        <v>415</v>
      </c>
      <c r="M427" t="s">
        <v>99</v>
      </c>
      <c r="N427" t="s">
        <v>2945</v>
      </c>
      <c r="O427" t="s">
        <v>186</v>
      </c>
      <c r="P427" t="s">
        <v>187</v>
      </c>
      <c r="Q427" t="s">
        <v>2946</v>
      </c>
      <c r="R427">
        <v>114.95</v>
      </c>
      <c r="S427">
        <v>5</v>
      </c>
      <c r="T427">
        <v>0</v>
      </c>
      <c r="U427">
        <v>2.2989999999999999</v>
      </c>
      <c r="V427">
        <v>112.651</v>
      </c>
      <c r="W427">
        <v>114.95</v>
      </c>
      <c r="X427">
        <v>4.4384870085485265E-2</v>
      </c>
    </row>
    <row r="428" spans="1:24" x14ac:dyDescent="0.3">
      <c r="A428" t="s">
        <v>2947</v>
      </c>
      <c r="B428" t="s">
        <v>2948</v>
      </c>
      <c r="C428" s="1">
        <v>42997</v>
      </c>
      <c r="D428" s="1">
        <v>43002</v>
      </c>
      <c r="E428" t="s">
        <v>26</v>
      </c>
      <c r="F428" t="s">
        <v>2949</v>
      </c>
      <c r="G428" t="s">
        <v>2950</v>
      </c>
      <c r="H428" t="s">
        <v>95</v>
      </c>
      <c r="I428" t="s">
        <v>30</v>
      </c>
      <c r="J428" t="s">
        <v>1020</v>
      </c>
      <c r="K428" t="s">
        <v>304</v>
      </c>
      <c r="L428" t="s">
        <v>1021</v>
      </c>
      <c r="M428" t="s">
        <v>34</v>
      </c>
      <c r="N428" t="s">
        <v>2951</v>
      </c>
      <c r="O428" t="s">
        <v>36</v>
      </c>
      <c r="P428" t="s">
        <v>37</v>
      </c>
      <c r="Q428" t="s">
        <v>2952</v>
      </c>
      <c r="R428">
        <v>61.96</v>
      </c>
      <c r="S428">
        <v>2</v>
      </c>
      <c r="T428">
        <v>0</v>
      </c>
      <c r="U428">
        <v>4.3372000000000002</v>
      </c>
      <c r="V428">
        <v>57.622799999999998</v>
      </c>
      <c r="W428">
        <v>61.96</v>
      </c>
      <c r="X428">
        <v>3.4708483447524245E-2</v>
      </c>
    </row>
    <row r="429" spans="1:24" x14ac:dyDescent="0.3">
      <c r="A429" t="s">
        <v>2953</v>
      </c>
      <c r="B429" t="s">
        <v>2954</v>
      </c>
      <c r="C429" s="1">
        <v>43649</v>
      </c>
      <c r="D429" s="1">
        <v>43653</v>
      </c>
      <c r="E429" t="s">
        <v>54</v>
      </c>
      <c r="F429" t="s">
        <v>2955</v>
      </c>
      <c r="G429" t="s">
        <v>2956</v>
      </c>
      <c r="H429" t="s">
        <v>29</v>
      </c>
      <c r="I429" t="s">
        <v>30</v>
      </c>
      <c r="J429" t="s">
        <v>475</v>
      </c>
      <c r="K429" t="s">
        <v>1136</v>
      </c>
      <c r="L429" t="s">
        <v>1137</v>
      </c>
      <c r="M429" t="s">
        <v>34</v>
      </c>
      <c r="N429" t="s">
        <v>2957</v>
      </c>
      <c r="O429" t="s">
        <v>36</v>
      </c>
      <c r="P429" t="s">
        <v>69</v>
      </c>
      <c r="Q429" t="s">
        <v>2958</v>
      </c>
      <c r="R429">
        <v>23.99</v>
      </c>
      <c r="S429">
        <v>1</v>
      </c>
      <c r="T429">
        <v>0</v>
      </c>
      <c r="U429">
        <v>5.5176999999999996</v>
      </c>
      <c r="V429">
        <v>18.472299999999997</v>
      </c>
      <c r="W429">
        <v>23.99</v>
      </c>
      <c r="X429">
        <v>5.4135110408557688E-2</v>
      </c>
    </row>
    <row r="430" spans="1:24" x14ac:dyDescent="0.3">
      <c r="A430" t="s">
        <v>2959</v>
      </c>
      <c r="B430" t="s">
        <v>2960</v>
      </c>
      <c r="C430" s="1">
        <v>43452</v>
      </c>
      <c r="D430" s="1">
        <v>43457</v>
      </c>
      <c r="E430" t="s">
        <v>54</v>
      </c>
      <c r="F430" t="s">
        <v>2961</v>
      </c>
      <c r="G430" t="s">
        <v>2962</v>
      </c>
      <c r="H430" t="s">
        <v>43</v>
      </c>
      <c r="I430" t="s">
        <v>30</v>
      </c>
      <c r="J430" t="s">
        <v>44</v>
      </c>
      <c r="K430" t="s">
        <v>45</v>
      </c>
      <c r="L430" t="s">
        <v>67</v>
      </c>
      <c r="M430" t="s">
        <v>47</v>
      </c>
      <c r="N430" t="s">
        <v>2963</v>
      </c>
      <c r="O430" t="s">
        <v>49</v>
      </c>
      <c r="P430" t="s">
        <v>79</v>
      </c>
      <c r="Q430" t="s">
        <v>2964</v>
      </c>
      <c r="R430">
        <v>38.880000000000003</v>
      </c>
      <c r="S430">
        <v>6</v>
      </c>
      <c r="T430">
        <v>0</v>
      </c>
      <c r="U430">
        <v>18.662400000000002</v>
      </c>
      <c r="V430">
        <v>20.217600000000001</v>
      </c>
      <c r="W430">
        <v>38.880000000000003</v>
      </c>
      <c r="X430">
        <v>0.29677113010446343</v>
      </c>
    </row>
    <row r="431" spans="1:24" x14ac:dyDescent="0.3">
      <c r="A431" t="s">
        <v>2965</v>
      </c>
      <c r="B431" t="s">
        <v>2966</v>
      </c>
      <c r="C431" s="1">
        <v>42552</v>
      </c>
      <c r="D431" s="1">
        <v>42556</v>
      </c>
      <c r="E431" t="s">
        <v>54</v>
      </c>
      <c r="F431" t="s">
        <v>2967</v>
      </c>
      <c r="G431" t="s">
        <v>2968</v>
      </c>
      <c r="H431" t="s">
        <v>43</v>
      </c>
      <c r="I431" t="s">
        <v>30</v>
      </c>
      <c r="J431" t="s">
        <v>2969</v>
      </c>
      <c r="K431" t="s">
        <v>58</v>
      </c>
      <c r="L431" t="s">
        <v>2970</v>
      </c>
      <c r="M431" t="s">
        <v>34</v>
      </c>
      <c r="N431" t="s">
        <v>2880</v>
      </c>
      <c r="O431" t="s">
        <v>186</v>
      </c>
      <c r="P431" t="s">
        <v>187</v>
      </c>
      <c r="Q431" t="s">
        <v>2881</v>
      </c>
      <c r="R431">
        <v>575.91999999999996</v>
      </c>
      <c r="S431">
        <v>2</v>
      </c>
      <c r="T431">
        <v>0.2</v>
      </c>
      <c r="U431">
        <v>71.989999999999995</v>
      </c>
      <c r="V431">
        <v>503.92999999999995</v>
      </c>
      <c r="W431">
        <v>460.73599999999999</v>
      </c>
      <c r="X431">
        <v>3.9688051911971906E-3</v>
      </c>
    </row>
    <row r="432" spans="1:24" x14ac:dyDescent="0.3">
      <c r="A432" t="s">
        <v>2971</v>
      </c>
      <c r="B432" t="s">
        <v>2972</v>
      </c>
      <c r="C432" s="1">
        <v>43499</v>
      </c>
      <c r="D432" s="1">
        <v>43504</v>
      </c>
      <c r="E432" t="s">
        <v>54</v>
      </c>
      <c r="F432" t="s">
        <v>2973</v>
      </c>
      <c r="G432" t="s">
        <v>2974</v>
      </c>
      <c r="H432" t="s">
        <v>29</v>
      </c>
      <c r="I432" t="s">
        <v>30</v>
      </c>
      <c r="J432" t="s">
        <v>949</v>
      </c>
      <c r="K432" t="s">
        <v>476</v>
      </c>
      <c r="L432" t="s">
        <v>950</v>
      </c>
      <c r="M432" t="s">
        <v>147</v>
      </c>
      <c r="N432" t="s">
        <v>2355</v>
      </c>
      <c r="O432" t="s">
        <v>49</v>
      </c>
      <c r="P432" t="s">
        <v>89</v>
      </c>
      <c r="Q432" t="s">
        <v>2356</v>
      </c>
      <c r="R432">
        <v>5.2290000000000001</v>
      </c>
      <c r="S432">
        <v>3</v>
      </c>
      <c r="T432">
        <v>0.7</v>
      </c>
      <c r="U432">
        <v>-4.1832000000000003</v>
      </c>
      <c r="V432">
        <v>9.4122000000000003</v>
      </c>
      <c r="W432">
        <v>1.5687000000000002</v>
      </c>
      <c r="X432">
        <v>0.31873525849429463</v>
      </c>
    </row>
    <row r="433" spans="1:24" x14ac:dyDescent="0.3">
      <c r="A433" t="s">
        <v>2975</v>
      </c>
      <c r="B433" t="s">
        <v>2976</v>
      </c>
      <c r="C433" s="1">
        <v>43527</v>
      </c>
      <c r="D433" s="1">
        <v>43532</v>
      </c>
      <c r="E433" t="s">
        <v>54</v>
      </c>
      <c r="F433" t="s">
        <v>2977</v>
      </c>
      <c r="G433" t="s">
        <v>2978</v>
      </c>
      <c r="H433" t="s">
        <v>29</v>
      </c>
      <c r="I433" t="s">
        <v>30</v>
      </c>
      <c r="J433" t="s">
        <v>2979</v>
      </c>
      <c r="K433" t="s">
        <v>32</v>
      </c>
      <c r="L433" t="s">
        <v>2980</v>
      </c>
      <c r="M433" t="s">
        <v>34</v>
      </c>
      <c r="N433" t="s">
        <v>2981</v>
      </c>
      <c r="O433" t="s">
        <v>49</v>
      </c>
      <c r="P433" t="s">
        <v>101</v>
      </c>
      <c r="Q433" t="s">
        <v>2982</v>
      </c>
      <c r="R433">
        <v>72.8</v>
      </c>
      <c r="S433">
        <v>5</v>
      </c>
      <c r="T433">
        <v>0</v>
      </c>
      <c r="U433">
        <v>19.655999999999999</v>
      </c>
      <c r="V433">
        <v>53.143999999999998</v>
      </c>
      <c r="W433">
        <v>72.8</v>
      </c>
      <c r="X433">
        <v>9.4083998193587232E-2</v>
      </c>
    </row>
    <row r="434" spans="1:24" x14ac:dyDescent="0.3">
      <c r="A434" t="s">
        <v>2983</v>
      </c>
      <c r="B434" t="s">
        <v>2984</v>
      </c>
      <c r="C434" s="1">
        <v>43747</v>
      </c>
      <c r="D434" s="1">
        <v>43748</v>
      </c>
      <c r="E434" t="s">
        <v>180</v>
      </c>
      <c r="F434" t="s">
        <v>2985</v>
      </c>
      <c r="G434" t="s">
        <v>2986</v>
      </c>
      <c r="H434" t="s">
        <v>29</v>
      </c>
      <c r="I434" t="s">
        <v>30</v>
      </c>
      <c r="J434" t="s">
        <v>498</v>
      </c>
      <c r="K434" t="s">
        <v>76</v>
      </c>
      <c r="L434" t="s">
        <v>1636</v>
      </c>
      <c r="M434" t="s">
        <v>34</v>
      </c>
      <c r="N434" t="s">
        <v>2987</v>
      </c>
      <c r="O434" t="s">
        <v>49</v>
      </c>
      <c r="P434" t="s">
        <v>79</v>
      </c>
      <c r="Q434" t="s">
        <v>2988</v>
      </c>
      <c r="R434">
        <v>10.816000000000001</v>
      </c>
      <c r="S434">
        <v>4</v>
      </c>
      <c r="T434">
        <v>0.2</v>
      </c>
      <c r="U434">
        <v>3.5152000000000001</v>
      </c>
      <c r="V434">
        <v>7.3008000000000006</v>
      </c>
      <c r="W434">
        <v>8.6528000000000009</v>
      </c>
      <c r="X434">
        <v>0.54788516326977865</v>
      </c>
    </row>
    <row r="435" spans="1:24" x14ac:dyDescent="0.3">
      <c r="A435" t="s">
        <v>2989</v>
      </c>
      <c r="B435" t="s">
        <v>2990</v>
      </c>
      <c r="C435" s="1">
        <v>42641</v>
      </c>
      <c r="D435" s="1">
        <v>42646</v>
      </c>
      <c r="E435" t="s">
        <v>54</v>
      </c>
      <c r="F435" t="s">
        <v>2991</v>
      </c>
      <c r="G435" t="s">
        <v>2992</v>
      </c>
      <c r="H435" t="s">
        <v>43</v>
      </c>
      <c r="I435" t="s">
        <v>30</v>
      </c>
      <c r="J435" t="s">
        <v>1320</v>
      </c>
      <c r="K435" t="s">
        <v>1118</v>
      </c>
      <c r="L435" t="s">
        <v>1321</v>
      </c>
      <c r="M435" t="s">
        <v>147</v>
      </c>
      <c r="N435" t="s">
        <v>2993</v>
      </c>
      <c r="O435" t="s">
        <v>49</v>
      </c>
      <c r="P435" t="s">
        <v>111</v>
      </c>
      <c r="Q435" t="s">
        <v>2994</v>
      </c>
      <c r="R435">
        <v>46.26</v>
      </c>
      <c r="S435">
        <v>3</v>
      </c>
      <c r="T435">
        <v>0</v>
      </c>
      <c r="U435">
        <v>12.4902</v>
      </c>
      <c r="V435">
        <v>33.769799999999996</v>
      </c>
      <c r="W435">
        <v>46.26</v>
      </c>
      <c r="X435">
        <v>8.8836771316383289E-2</v>
      </c>
    </row>
    <row r="436" spans="1:24" x14ac:dyDescent="0.3">
      <c r="A436" t="s">
        <v>2995</v>
      </c>
      <c r="B436" t="s">
        <v>2996</v>
      </c>
      <c r="C436" s="1">
        <v>43189</v>
      </c>
      <c r="D436" s="1">
        <v>43191</v>
      </c>
      <c r="E436" t="s">
        <v>180</v>
      </c>
      <c r="F436" t="s">
        <v>2997</v>
      </c>
      <c r="G436" t="s">
        <v>2998</v>
      </c>
      <c r="H436" t="s">
        <v>43</v>
      </c>
      <c r="I436" t="s">
        <v>30</v>
      </c>
      <c r="J436" t="s">
        <v>2403</v>
      </c>
      <c r="K436" t="s">
        <v>706</v>
      </c>
      <c r="L436" t="s">
        <v>2404</v>
      </c>
      <c r="M436" t="s">
        <v>147</v>
      </c>
      <c r="N436" t="s">
        <v>2999</v>
      </c>
      <c r="O436" t="s">
        <v>49</v>
      </c>
      <c r="P436" t="s">
        <v>79</v>
      </c>
      <c r="Q436" t="s">
        <v>3000</v>
      </c>
      <c r="R436">
        <v>11.34</v>
      </c>
      <c r="S436">
        <v>1</v>
      </c>
      <c r="T436">
        <v>0</v>
      </c>
      <c r="U436">
        <v>5.5566000000000004</v>
      </c>
      <c r="V436">
        <v>5.7833999999999994</v>
      </c>
      <c r="W436">
        <v>11.34</v>
      </c>
      <c r="X436">
        <v>0.17290866964069579</v>
      </c>
    </row>
    <row r="437" spans="1:24" x14ac:dyDescent="0.3">
      <c r="A437" t="s">
        <v>3001</v>
      </c>
      <c r="B437" t="s">
        <v>3002</v>
      </c>
      <c r="C437" s="1">
        <v>43753</v>
      </c>
      <c r="D437" s="1">
        <v>43756</v>
      </c>
      <c r="E437" t="s">
        <v>26</v>
      </c>
      <c r="F437" t="s">
        <v>3003</v>
      </c>
      <c r="G437" t="s">
        <v>3004</v>
      </c>
      <c r="H437" t="s">
        <v>95</v>
      </c>
      <c r="I437" t="s">
        <v>30</v>
      </c>
      <c r="J437" t="s">
        <v>126</v>
      </c>
      <c r="K437" t="s">
        <v>45</v>
      </c>
      <c r="L437" t="s">
        <v>957</v>
      </c>
      <c r="M437" t="s">
        <v>47</v>
      </c>
      <c r="N437" t="s">
        <v>3005</v>
      </c>
      <c r="O437" t="s">
        <v>49</v>
      </c>
      <c r="P437" t="s">
        <v>129</v>
      </c>
      <c r="Q437" t="s">
        <v>3006</v>
      </c>
      <c r="R437">
        <v>87.92</v>
      </c>
      <c r="S437">
        <v>4</v>
      </c>
      <c r="T437">
        <v>0</v>
      </c>
      <c r="U437">
        <v>26.376000000000001</v>
      </c>
      <c r="V437">
        <v>61.543999999999997</v>
      </c>
      <c r="W437">
        <v>87.92</v>
      </c>
      <c r="X437">
        <v>6.4994150526452618E-2</v>
      </c>
    </row>
    <row r="438" spans="1:24" x14ac:dyDescent="0.3">
      <c r="A438" t="s">
        <v>3007</v>
      </c>
      <c r="B438" t="s">
        <v>3008</v>
      </c>
      <c r="C438" s="1">
        <v>43243</v>
      </c>
      <c r="D438" s="1">
        <v>43247</v>
      </c>
      <c r="E438" t="s">
        <v>54</v>
      </c>
      <c r="F438" t="s">
        <v>3009</v>
      </c>
      <c r="G438" t="s">
        <v>3010</v>
      </c>
      <c r="H438" t="s">
        <v>29</v>
      </c>
      <c r="I438" t="s">
        <v>30</v>
      </c>
      <c r="J438" t="s">
        <v>126</v>
      </c>
      <c r="K438" t="s">
        <v>45</v>
      </c>
      <c r="L438" t="s">
        <v>127</v>
      </c>
      <c r="M438" t="s">
        <v>47</v>
      </c>
      <c r="N438" t="s">
        <v>2852</v>
      </c>
      <c r="O438" t="s">
        <v>36</v>
      </c>
      <c r="P438" t="s">
        <v>69</v>
      </c>
      <c r="Q438" t="s">
        <v>2853</v>
      </c>
      <c r="R438">
        <v>37.049999999999997</v>
      </c>
      <c r="S438">
        <v>3</v>
      </c>
      <c r="T438">
        <v>0</v>
      </c>
      <c r="U438">
        <v>16.302</v>
      </c>
      <c r="V438">
        <v>20.747999999999998</v>
      </c>
      <c r="W438">
        <v>37.049999999999997</v>
      </c>
      <c r="X438">
        <v>0.14459224985540778</v>
      </c>
    </row>
    <row r="439" spans="1:24" x14ac:dyDescent="0.3">
      <c r="A439" t="s">
        <v>3011</v>
      </c>
      <c r="B439" t="s">
        <v>3012</v>
      </c>
      <c r="C439" s="1">
        <v>43618</v>
      </c>
      <c r="D439" s="1">
        <v>43622</v>
      </c>
      <c r="E439" t="s">
        <v>54</v>
      </c>
      <c r="F439" t="s">
        <v>3013</v>
      </c>
      <c r="G439" t="s">
        <v>3014</v>
      </c>
      <c r="H439" t="s">
        <v>95</v>
      </c>
      <c r="I439" t="s">
        <v>30</v>
      </c>
      <c r="J439" t="s">
        <v>2266</v>
      </c>
      <c r="K439" t="s">
        <v>476</v>
      </c>
      <c r="L439" t="s">
        <v>2267</v>
      </c>
      <c r="M439" t="s">
        <v>147</v>
      </c>
      <c r="N439" t="s">
        <v>3015</v>
      </c>
      <c r="O439" t="s">
        <v>186</v>
      </c>
      <c r="P439" t="s">
        <v>187</v>
      </c>
      <c r="Q439" t="s">
        <v>3016</v>
      </c>
      <c r="R439">
        <v>2.97</v>
      </c>
      <c r="S439">
        <v>1</v>
      </c>
      <c r="T439">
        <v>0.4</v>
      </c>
      <c r="U439">
        <v>-0.64349999999999996</v>
      </c>
      <c r="V439">
        <v>3.6135000000000002</v>
      </c>
      <c r="W439">
        <v>1.782</v>
      </c>
      <c r="X439">
        <v>0.27674000276740002</v>
      </c>
    </row>
    <row r="440" spans="1:24" x14ac:dyDescent="0.3">
      <c r="A440" t="s">
        <v>3017</v>
      </c>
      <c r="B440" t="s">
        <v>3018</v>
      </c>
      <c r="C440" s="1">
        <v>42416</v>
      </c>
      <c r="D440" s="1">
        <v>42421</v>
      </c>
      <c r="E440" t="s">
        <v>54</v>
      </c>
      <c r="F440" t="s">
        <v>3019</v>
      </c>
      <c r="G440" t="s">
        <v>3020</v>
      </c>
      <c r="H440" t="s">
        <v>29</v>
      </c>
      <c r="I440" t="s">
        <v>30</v>
      </c>
      <c r="J440" t="s">
        <v>782</v>
      </c>
      <c r="K440" t="s">
        <v>97</v>
      </c>
      <c r="L440" t="s">
        <v>783</v>
      </c>
      <c r="M440" t="s">
        <v>99</v>
      </c>
      <c r="N440" t="s">
        <v>3021</v>
      </c>
      <c r="O440" t="s">
        <v>49</v>
      </c>
      <c r="P440" t="s">
        <v>89</v>
      </c>
      <c r="Q440" t="s">
        <v>3022</v>
      </c>
      <c r="R440">
        <v>1.08</v>
      </c>
      <c r="S440">
        <v>3</v>
      </c>
      <c r="T440">
        <v>0.8</v>
      </c>
      <c r="U440">
        <v>-1.728</v>
      </c>
      <c r="V440">
        <v>2.8079999999999998</v>
      </c>
      <c r="W440">
        <v>0.21599999999999997</v>
      </c>
      <c r="X440">
        <v>1.0683760683760684</v>
      </c>
    </row>
    <row r="441" spans="1:24" x14ac:dyDescent="0.3">
      <c r="A441" t="s">
        <v>3023</v>
      </c>
      <c r="B441" t="s">
        <v>3024</v>
      </c>
      <c r="C441" s="1">
        <v>43236</v>
      </c>
      <c r="D441" s="1">
        <v>43243</v>
      </c>
      <c r="E441" t="s">
        <v>54</v>
      </c>
      <c r="F441" t="s">
        <v>3025</v>
      </c>
      <c r="G441" t="s">
        <v>3026</v>
      </c>
      <c r="H441" t="s">
        <v>29</v>
      </c>
      <c r="I441" t="s">
        <v>30</v>
      </c>
      <c r="J441" t="s">
        <v>3027</v>
      </c>
      <c r="K441" t="s">
        <v>706</v>
      </c>
      <c r="L441" t="s">
        <v>3028</v>
      </c>
      <c r="M441" t="s">
        <v>147</v>
      </c>
      <c r="N441" t="s">
        <v>3029</v>
      </c>
      <c r="O441" t="s">
        <v>49</v>
      </c>
      <c r="P441" t="s">
        <v>111</v>
      </c>
      <c r="Q441" t="s">
        <v>3030</v>
      </c>
      <c r="R441">
        <v>552.55999999999995</v>
      </c>
      <c r="S441">
        <v>4</v>
      </c>
      <c r="T441">
        <v>0</v>
      </c>
      <c r="U441">
        <v>0</v>
      </c>
      <c r="V441">
        <v>552.55999999999995</v>
      </c>
      <c r="W441">
        <v>552.55999999999995</v>
      </c>
      <c r="X441">
        <v>7.2390328652092084E-3</v>
      </c>
    </row>
    <row r="442" spans="1:24" x14ac:dyDescent="0.3">
      <c r="A442" t="s">
        <v>3031</v>
      </c>
      <c r="B442" t="s">
        <v>3032</v>
      </c>
      <c r="C442" s="1">
        <v>43557</v>
      </c>
      <c r="D442" s="1">
        <v>43562</v>
      </c>
      <c r="E442" t="s">
        <v>54</v>
      </c>
      <c r="F442" t="s">
        <v>3033</v>
      </c>
      <c r="G442" t="s">
        <v>3034</v>
      </c>
      <c r="H442" t="s">
        <v>29</v>
      </c>
      <c r="I442" t="s">
        <v>30</v>
      </c>
      <c r="J442" t="s">
        <v>44</v>
      </c>
      <c r="K442" t="s">
        <v>45</v>
      </c>
      <c r="L442" t="s">
        <v>1669</v>
      </c>
      <c r="M442" t="s">
        <v>47</v>
      </c>
      <c r="N442" t="s">
        <v>3035</v>
      </c>
      <c r="O442" t="s">
        <v>36</v>
      </c>
      <c r="P442" t="s">
        <v>69</v>
      </c>
      <c r="Q442" t="s">
        <v>3036</v>
      </c>
      <c r="R442">
        <v>25.11</v>
      </c>
      <c r="S442">
        <v>3</v>
      </c>
      <c r="T442">
        <v>0</v>
      </c>
      <c r="U442">
        <v>6.5286</v>
      </c>
      <c r="V442">
        <v>18.581399999999999</v>
      </c>
      <c r="W442">
        <v>25.11</v>
      </c>
      <c r="X442">
        <v>0.16145177435500016</v>
      </c>
    </row>
    <row r="443" spans="1:24" x14ac:dyDescent="0.3">
      <c r="A443" t="s">
        <v>3037</v>
      </c>
      <c r="B443" t="s">
        <v>3038</v>
      </c>
      <c r="C443" s="1">
        <v>43555</v>
      </c>
      <c r="D443" s="1">
        <v>43557</v>
      </c>
      <c r="E443" t="s">
        <v>26</v>
      </c>
      <c r="F443" t="s">
        <v>3039</v>
      </c>
      <c r="G443" t="s">
        <v>3040</v>
      </c>
      <c r="H443" t="s">
        <v>29</v>
      </c>
      <c r="I443" t="s">
        <v>30</v>
      </c>
      <c r="J443" t="s">
        <v>261</v>
      </c>
      <c r="K443" t="s">
        <v>262</v>
      </c>
      <c r="L443" t="s">
        <v>1788</v>
      </c>
      <c r="M443" t="s">
        <v>147</v>
      </c>
      <c r="N443" t="s">
        <v>3041</v>
      </c>
      <c r="O443" t="s">
        <v>36</v>
      </c>
      <c r="P443" t="s">
        <v>69</v>
      </c>
      <c r="Q443" t="s">
        <v>3042</v>
      </c>
      <c r="R443">
        <v>29.78</v>
      </c>
      <c r="S443">
        <v>2</v>
      </c>
      <c r="T443">
        <v>0</v>
      </c>
      <c r="U443">
        <v>8.0405999999999995</v>
      </c>
      <c r="V443">
        <v>21.739400000000003</v>
      </c>
      <c r="W443">
        <v>29.78</v>
      </c>
      <c r="X443">
        <v>9.1998859214145731E-2</v>
      </c>
    </row>
    <row r="444" spans="1:24" x14ac:dyDescent="0.3">
      <c r="A444" t="s">
        <v>3043</v>
      </c>
      <c r="B444" t="s">
        <v>3044</v>
      </c>
      <c r="C444" s="1">
        <v>43467</v>
      </c>
      <c r="D444" s="1">
        <v>43469</v>
      </c>
      <c r="E444" t="s">
        <v>180</v>
      </c>
      <c r="F444" t="s">
        <v>3045</v>
      </c>
      <c r="G444" t="s">
        <v>3046</v>
      </c>
      <c r="H444" t="s">
        <v>43</v>
      </c>
      <c r="I444" t="s">
        <v>30</v>
      </c>
      <c r="J444" t="s">
        <v>1359</v>
      </c>
      <c r="K444" t="s">
        <v>76</v>
      </c>
      <c r="L444" t="s">
        <v>3047</v>
      </c>
      <c r="M444" t="s">
        <v>34</v>
      </c>
      <c r="N444" t="s">
        <v>3048</v>
      </c>
      <c r="O444" t="s">
        <v>186</v>
      </c>
      <c r="P444" t="s">
        <v>921</v>
      </c>
      <c r="Q444" t="s">
        <v>3049</v>
      </c>
      <c r="R444">
        <v>695.7</v>
      </c>
      <c r="S444">
        <v>2</v>
      </c>
      <c r="T444">
        <v>0.5</v>
      </c>
      <c r="U444">
        <v>-27.827999999999999</v>
      </c>
      <c r="V444">
        <v>723.52800000000002</v>
      </c>
      <c r="W444">
        <v>347.85</v>
      </c>
      <c r="X444">
        <v>2.7642330359018588E-3</v>
      </c>
    </row>
    <row r="445" spans="1:24" x14ac:dyDescent="0.3">
      <c r="A445" t="s">
        <v>3050</v>
      </c>
      <c r="B445" t="s">
        <v>3051</v>
      </c>
      <c r="C445" s="1">
        <v>42646</v>
      </c>
      <c r="D445" s="1">
        <v>42651</v>
      </c>
      <c r="E445" t="s">
        <v>26</v>
      </c>
      <c r="F445" t="s">
        <v>3052</v>
      </c>
      <c r="G445" t="s">
        <v>3053</v>
      </c>
      <c r="H445" t="s">
        <v>29</v>
      </c>
      <c r="I445" t="s">
        <v>30</v>
      </c>
      <c r="J445" t="s">
        <v>2079</v>
      </c>
      <c r="K445" t="s">
        <v>202</v>
      </c>
      <c r="L445" t="s">
        <v>2080</v>
      </c>
      <c r="M445" t="s">
        <v>99</v>
      </c>
      <c r="N445" t="s">
        <v>3054</v>
      </c>
      <c r="O445" t="s">
        <v>36</v>
      </c>
      <c r="P445" t="s">
        <v>149</v>
      </c>
      <c r="Q445" t="s">
        <v>3055</v>
      </c>
      <c r="R445">
        <v>258.279</v>
      </c>
      <c r="S445">
        <v>3</v>
      </c>
      <c r="T445">
        <v>0.3</v>
      </c>
      <c r="U445">
        <v>-70.104299999999995</v>
      </c>
      <c r="V445">
        <v>328.38329999999996</v>
      </c>
      <c r="W445">
        <v>180.7953</v>
      </c>
      <c r="X445">
        <v>9.1356655469385945E-3</v>
      </c>
    </row>
    <row r="446" spans="1:24" x14ac:dyDescent="0.3">
      <c r="A446" t="s">
        <v>3056</v>
      </c>
      <c r="B446" t="s">
        <v>3057</v>
      </c>
      <c r="C446" s="1">
        <v>43225</v>
      </c>
      <c r="D446" s="1">
        <v>43227</v>
      </c>
      <c r="E446" t="s">
        <v>180</v>
      </c>
      <c r="F446" t="s">
        <v>3058</v>
      </c>
      <c r="G446" t="s">
        <v>3059</v>
      </c>
      <c r="H446" t="s">
        <v>29</v>
      </c>
      <c r="I446" t="s">
        <v>30</v>
      </c>
      <c r="J446" t="s">
        <v>2258</v>
      </c>
      <c r="K446" t="s">
        <v>32</v>
      </c>
      <c r="L446" t="s">
        <v>2259</v>
      </c>
      <c r="M446" t="s">
        <v>34</v>
      </c>
      <c r="N446" t="s">
        <v>3060</v>
      </c>
      <c r="O446" t="s">
        <v>49</v>
      </c>
      <c r="P446" t="s">
        <v>79</v>
      </c>
      <c r="Q446" t="s">
        <v>3061</v>
      </c>
      <c r="R446">
        <v>79.14</v>
      </c>
      <c r="S446">
        <v>3</v>
      </c>
      <c r="T446">
        <v>0</v>
      </c>
      <c r="U446">
        <v>36.404400000000003</v>
      </c>
      <c r="V446">
        <v>42.735599999999998</v>
      </c>
      <c r="W446">
        <v>79.14</v>
      </c>
      <c r="X446">
        <v>7.0199084603936771E-2</v>
      </c>
    </row>
    <row r="447" spans="1:24" x14ac:dyDescent="0.3">
      <c r="A447" t="s">
        <v>3062</v>
      </c>
      <c r="B447" t="s">
        <v>3063</v>
      </c>
      <c r="C447" s="1">
        <v>43581</v>
      </c>
      <c r="D447" s="1">
        <v>43582</v>
      </c>
      <c r="E447" t="s">
        <v>180</v>
      </c>
      <c r="F447" t="s">
        <v>3064</v>
      </c>
      <c r="G447" t="s">
        <v>3065</v>
      </c>
      <c r="H447" t="s">
        <v>29</v>
      </c>
      <c r="I447" t="s">
        <v>30</v>
      </c>
      <c r="J447" t="s">
        <v>96</v>
      </c>
      <c r="K447" t="s">
        <v>97</v>
      </c>
      <c r="L447" t="s">
        <v>98</v>
      </c>
      <c r="M447" t="s">
        <v>99</v>
      </c>
      <c r="N447" t="s">
        <v>2015</v>
      </c>
      <c r="O447" t="s">
        <v>36</v>
      </c>
      <c r="P447" t="s">
        <v>69</v>
      </c>
      <c r="Q447" t="s">
        <v>2016</v>
      </c>
      <c r="R447">
        <v>1.988</v>
      </c>
      <c r="S447">
        <v>1</v>
      </c>
      <c r="T447">
        <v>0.6</v>
      </c>
      <c r="U447">
        <v>-1.4413</v>
      </c>
      <c r="V447">
        <v>3.4293</v>
      </c>
      <c r="W447">
        <v>0.79520000000000002</v>
      </c>
      <c r="X447">
        <v>0.29160470066777477</v>
      </c>
    </row>
    <row r="448" spans="1:24" x14ac:dyDescent="0.3">
      <c r="A448" t="s">
        <v>3066</v>
      </c>
      <c r="B448" t="s">
        <v>3067</v>
      </c>
      <c r="C448" s="1">
        <v>42639</v>
      </c>
      <c r="D448" s="1">
        <v>42644</v>
      </c>
      <c r="E448" t="s">
        <v>26</v>
      </c>
      <c r="F448" t="s">
        <v>3068</v>
      </c>
      <c r="G448" t="s">
        <v>3069</v>
      </c>
      <c r="H448" t="s">
        <v>29</v>
      </c>
      <c r="I448" t="s">
        <v>30</v>
      </c>
      <c r="J448" t="s">
        <v>44</v>
      </c>
      <c r="K448" t="s">
        <v>45</v>
      </c>
      <c r="L448" t="s">
        <v>161</v>
      </c>
      <c r="M448" t="s">
        <v>47</v>
      </c>
      <c r="N448" t="s">
        <v>3070</v>
      </c>
      <c r="O448" t="s">
        <v>36</v>
      </c>
      <c r="P448" t="s">
        <v>149</v>
      </c>
      <c r="Q448" t="s">
        <v>3071</v>
      </c>
      <c r="R448">
        <v>145.56800000000001</v>
      </c>
      <c r="S448">
        <v>2</v>
      </c>
      <c r="T448">
        <v>0.2</v>
      </c>
      <c r="U448">
        <v>0</v>
      </c>
      <c r="V448">
        <v>145.56800000000001</v>
      </c>
      <c r="W448">
        <v>116.45440000000002</v>
      </c>
      <c r="X448">
        <v>1.3739283358979995E-2</v>
      </c>
    </row>
    <row r="449" spans="1:24" x14ac:dyDescent="0.3">
      <c r="A449" t="s">
        <v>3072</v>
      </c>
      <c r="B449" t="s">
        <v>3073</v>
      </c>
      <c r="C449" s="1">
        <v>43757</v>
      </c>
      <c r="D449" s="1">
        <v>43763</v>
      </c>
      <c r="E449" t="s">
        <v>54</v>
      </c>
      <c r="F449" t="s">
        <v>3074</v>
      </c>
      <c r="G449" t="s">
        <v>3075</v>
      </c>
      <c r="H449" t="s">
        <v>43</v>
      </c>
      <c r="I449" t="s">
        <v>30</v>
      </c>
      <c r="J449" t="s">
        <v>144</v>
      </c>
      <c r="K449" t="s">
        <v>145</v>
      </c>
      <c r="L449" t="s">
        <v>759</v>
      </c>
      <c r="M449" t="s">
        <v>147</v>
      </c>
      <c r="N449" t="s">
        <v>3076</v>
      </c>
      <c r="O449" t="s">
        <v>49</v>
      </c>
      <c r="P449" t="s">
        <v>129</v>
      </c>
      <c r="Q449" t="s">
        <v>3077</v>
      </c>
      <c r="R449">
        <v>123.256</v>
      </c>
      <c r="S449">
        <v>7</v>
      </c>
      <c r="T449">
        <v>0.2</v>
      </c>
      <c r="U449">
        <v>9.2441999999999993</v>
      </c>
      <c r="V449">
        <v>114.01179999999999</v>
      </c>
      <c r="W449">
        <v>98.604800000000012</v>
      </c>
      <c r="X449">
        <v>6.1397153627957814E-2</v>
      </c>
    </row>
    <row r="450" spans="1:24" x14ac:dyDescent="0.3">
      <c r="A450" t="s">
        <v>3078</v>
      </c>
      <c r="B450" t="s">
        <v>3079</v>
      </c>
      <c r="C450" s="1">
        <v>43779</v>
      </c>
      <c r="D450" s="1">
        <v>43780</v>
      </c>
      <c r="E450" t="s">
        <v>180</v>
      </c>
      <c r="F450" t="s">
        <v>3080</v>
      </c>
      <c r="G450" t="s">
        <v>3081</v>
      </c>
      <c r="H450" t="s">
        <v>43</v>
      </c>
      <c r="I450" t="s">
        <v>30</v>
      </c>
      <c r="J450" t="s">
        <v>1171</v>
      </c>
      <c r="K450" t="s">
        <v>295</v>
      </c>
      <c r="L450" t="s">
        <v>1172</v>
      </c>
      <c r="M450" t="s">
        <v>47</v>
      </c>
      <c r="N450" t="s">
        <v>2139</v>
      </c>
      <c r="O450" t="s">
        <v>49</v>
      </c>
      <c r="P450" t="s">
        <v>89</v>
      </c>
      <c r="Q450" t="s">
        <v>2140</v>
      </c>
      <c r="R450">
        <v>38.387999999999998</v>
      </c>
      <c r="S450">
        <v>14</v>
      </c>
      <c r="T450">
        <v>0.7</v>
      </c>
      <c r="U450">
        <v>-25.591999999999999</v>
      </c>
      <c r="V450">
        <v>63.98</v>
      </c>
      <c r="W450">
        <v>11.516400000000001</v>
      </c>
      <c r="X450">
        <v>0.21881838074398249</v>
      </c>
    </row>
    <row r="451" spans="1:24" x14ac:dyDescent="0.3">
      <c r="A451" t="s">
        <v>3082</v>
      </c>
      <c r="B451" t="s">
        <v>3083</v>
      </c>
      <c r="C451" s="1">
        <v>43654</v>
      </c>
      <c r="D451" s="1">
        <v>43657</v>
      </c>
      <c r="E451" t="s">
        <v>180</v>
      </c>
      <c r="F451" t="s">
        <v>3084</v>
      </c>
      <c r="G451" t="s">
        <v>3085</v>
      </c>
      <c r="H451" t="s">
        <v>95</v>
      </c>
      <c r="I451" t="s">
        <v>30</v>
      </c>
      <c r="J451" t="s">
        <v>3086</v>
      </c>
      <c r="K451" t="s">
        <v>45</v>
      </c>
      <c r="L451" t="s">
        <v>3087</v>
      </c>
      <c r="M451" t="s">
        <v>47</v>
      </c>
      <c r="N451" t="s">
        <v>1038</v>
      </c>
      <c r="O451" t="s">
        <v>36</v>
      </c>
      <c r="P451" t="s">
        <v>69</v>
      </c>
      <c r="Q451" t="s">
        <v>1039</v>
      </c>
      <c r="R451">
        <v>145.9</v>
      </c>
      <c r="S451">
        <v>5</v>
      </c>
      <c r="T451">
        <v>0</v>
      </c>
      <c r="U451">
        <v>62.737000000000002</v>
      </c>
      <c r="V451">
        <v>83.163000000000011</v>
      </c>
      <c r="W451">
        <v>145.9</v>
      </c>
      <c r="X451">
        <v>6.0122891189591514E-2</v>
      </c>
    </row>
    <row r="452" spans="1:24" x14ac:dyDescent="0.3">
      <c r="A452" t="s">
        <v>3088</v>
      </c>
      <c r="B452" t="s">
        <v>3089</v>
      </c>
      <c r="C452" s="1">
        <v>43531</v>
      </c>
      <c r="D452" s="1">
        <v>43536</v>
      </c>
      <c r="E452" t="s">
        <v>54</v>
      </c>
      <c r="F452" t="s">
        <v>3090</v>
      </c>
      <c r="G452" t="s">
        <v>3091</v>
      </c>
      <c r="H452" t="s">
        <v>95</v>
      </c>
      <c r="I452" t="s">
        <v>30</v>
      </c>
      <c r="J452" t="s">
        <v>2719</v>
      </c>
      <c r="K452" t="s">
        <v>2361</v>
      </c>
      <c r="L452" t="s">
        <v>2720</v>
      </c>
      <c r="M452" t="s">
        <v>147</v>
      </c>
      <c r="N452" t="s">
        <v>3092</v>
      </c>
      <c r="O452" t="s">
        <v>186</v>
      </c>
      <c r="P452" t="s">
        <v>228</v>
      </c>
      <c r="Q452" t="s">
        <v>3093</v>
      </c>
      <c r="R452">
        <v>49.08</v>
      </c>
      <c r="S452">
        <v>3</v>
      </c>
      <c r="T452">
        <v>0</v>
      </c>
      <c r="U452">
        <v>4.9080000000000004</v>
      </c>
      <c r="V452">
        <v>44.171999999999997</v>
      </c>
      <c r="W452">
        <v>49.08</v>
      </c>
      <c r="X452">
        <v>6.7916327085031244E-2</v>
      </c>
    </row>
    <row r="453" spans="1:24" x14ac:dyDescent="0.3">
      <c r="A453" t="s">
        <v>3094</v>
      </c>
      <c r="B453" t="s">
        <v>3095</v>
      </c>
      <c r="C453" s="1">
        <v>43346</v>
      </c>
      <c r="D453" s="1">
        <v>43352</v>
      </c>
      <c r="E453" t="s">
        <v>54</v>
      </c>
      <c r="F453" t="s">
        <v>3096</v>
      </c>
      <c r="G453" t="s">
        <v>3097</v>
      </c>
      <c r="H453" t="s">
        <v>95</v>
      </c>
      <c r="I453" t="s">
        <v>30</v>
      </c>
      <c r="J453" t="s">
        <v>434</v>
      </c>
      <c r="K453" t="s">
        <v>202</v>
      </c>
      <c r="L453" t="s">
        <v>1887</v>
      </c>
      <c r="M453" t="s">
        <v>99</v>
      </c>
      <c r="N453" t="s">
        <v>3098</v>
      </c>
      <c r="O453" t="s">
        <v>36</v>
      </c>
      <c r="P453" t="s">
        <v>69</v>
      </c>
      <c r="Q453" t="s">
        <v>3099</v>
      </c>
      <c r="R453">
        <v>83.951999999999998</v>
      </c>
      <c r="S453">
        <v>3</v>
      </c>
      <c r="T453">
        <v>0.6</v>
      </c>
      <c r="U453">
        <v>-90.248400000000004</v>
      </c>
      <c r="V453">
        <v>174.2004</v>
      </c>
      <c r="W453">
        <v>33.580800000000004</v>
      </c>
      <c r="X453">
        <v>1.7221544841458457E-2</v>
      </c>
    </row>
    <row r="454" spans="1:24" x14ac:dyDescent="0.3">
      <c r="A454" t="s">
        <v>3100</v>
      </c>
      <c r="B454" t="s">
        <v>3101</v>
      </c>
      <c r="C454" s="1">
        <v>43136</v>
      </c>
      <c r="D454" s="1">
        <v>43136</v>
      </c>
      <c r="E454" t="s">
        <v>1152</v>
      </c>
      <c r="F454" t="s">
        <v>3102</v>
      </c>
      <c r="G454" t="s">
        <v>3103</v>
      </c>
      <c r="H454" t="s">
        <v>95</v>
      </c>
      <c r="I454" t="s">
        <v>30</v>
      </c>
      <c r="J454" t="s">
        <v>3104</v>
      </c>
      <c r="K454" t="s">
        <v>1136</v>
      </c>
      <c r="L454" t="s">
        <v>3105</v>
      </c>
      <c r="M454" t="s">
        <v>34</v>
      </c>
      <c r="N454" t="s">
        <v>3106</v>
      </c>
      <c r="O454" t="s">
        <v>49</v>
      </c>
      <c r="P454" t="s">
        <v>111</v>
      </c>
      <c r="Q454" t="s">
        <v>3107</v>
      </c>
      <c r="R454">
        <v>80.98</v>
      </c>
      <c r="S454">
        <v>1</v>
      </c>
      <c r="T454">
        <v>0</v>
      </c>
      <c r="U454">
        <v>1.6195999999999999</v>
      </c>
      <c r="V454">
        <v>79.360399999999998</v>
      </c>
      <c r="W454">
        <v>80.98</v>
      </c>
      <c r="X454">
        <v>1.2600742939803731E-2</v>
      </c>
    </row>
    <row r="455" spans="1:24" x14ac:dyDescent="0.3">
      <c r="A455" t="s">
        <v>3108</v>
      </c>
      <c r="B455" t="s">
        <v>3109</v>
      </c>
      <c r="C455" s="1">
        <v>43649</v>
      </c>
      <c r="D455" s="1">
        <v>43650</v>
      </c>
      <c r="E455" t="s">
        <v>180</v>
      </c>
      <c r="F455" t="s">
        <v>3110</v>
      </c>
      <c r="G455" t="s">
        <v>3111</v>
      </c>
      <c r="H455" t="s">
        <v>43</v>
      </c>
      <c r="I455" t="s">
        <v>30</v>
      </c>
      <c r="J455" t="s">
        <v>1935</v>
      </c>
      <c r="K455" t="s">
        <v>76</v>
      </c>
      <c r="L455" t="s">
        <v>1936</v>
      </c>
      <c r="M455" t="s">
        <v>34</v>
      </c>
      <c r="N455" t="s">
        <v>3112</v>
      </c>
      <c r="O455" t="s">
        <v>49</v>
      </c>
      <c r="P455" t="s">
        <v>129</v>
      </c>
      <c r="Q455" t="s">
        <v>3113</v>
      </c>
      <c r="R455">
        <v>9.5519999999999996</v>
      </c>
      <c r="S455">
        <v>3</v>
      </c>
      <c r="T455">
        <v>0.2</v>
      </c>
      <c r="U455">
        <v>1.5522</v>
      </c>
      <c r="V455">
        <v>7.9997999999999996</v>
      </c>
      <c r="W455">
        <v>7.6416000000000004</v>
      </c>
      <c r="X455">
        <v>0.37500937523438088</v>
      </c>
    </row>
    <row r="456" spans="1:24" x14ac:dyDescent="0.3">
      <c r="A456" t="s">
        <v>3114</v>
      </c>
      <c r="B456" t="s">
        <v>3115</v>
      </c>
      <c r="C456" s="1">
        <v>43405</v>
      </c>
      <c r="D456" s="1">
        <v>43409</v>
      </c>
      <c r="E456" t="s">
        <v>54</v>
      </c>
      <c r="F456" t="s">
        <v>3116</v>
      </c>
      <c r="G456" t="s">
        <v>3117</v>
      </c>
      <c r="H456" t="s">
        <v>95</v>
      </c>
      <c r="I456" t="s">
        <v>30</v>
      </c>
      <c r="J456" t="s">
        <v>1723</v>
      </c>
      <c r="K456" t="s">
        <v>304</v>
      </c>
      <c r="L456" t="s">
        <v>3118</v>
      </c>
      <c r="M456" t="s">
        <v>34</v>
      </c>
      <c r="N456" t="s">
        <v>3119</v>
      </c>
      <c r="O456" t="s">
        <v>186</v>
      </c>
      <c r="P456" t="s">
        <v>187</v>
      </c>
      <c r="Q456" t="s">
        <v>3120</v>
      </c>
      <c r="R456">
        <v>21.8</v>
      </c>
      <c r="S456">
        <v>2</v>
      </c>
      <c r="T456">
        <v>0</v>
      </c>
      <c r="U456">
        <v>6.1040000000000001</v>
      </c>
      <c r="V456">
        <v>15.696000000000002</v>
      </c>
      <c r="W456">
        <v>21.8</v>
      </c>
      <c r="X456">
        <v>0.127420998980632</v>
      </c>
    </row>
    <row r="457" spans="1:24" x14ac:dyDescent="0.3">
      <c r="A457" t="s">
        <v>3121</v>
      </c>
      <c r="B457" t="s">
        <v>3122</v>
      </c>
      <c r="C457" s="1">
        <v>43368</v>
      </c>
      <c r="D457" s="1">
        <v>43373</v>
      </c>
      <c r="E457" t="s">
        <v>54</v>
      </c>
      <c r="F457" t="s">
        <v>3123</v>
      </c>
      <c r="G457" t="s">
        <v>3124</v>
      </c>
      <c r="H457" t="s">
        <v>29</v>
      </c>
      <c r="I457" t="s">
        <v>30</v>
      </c>
      <c r="J457" t="s">
        <v>520</v>
      </c>
      <c r="K457" t="s">
        <v>295</v>
      </c>
      <c r="L457" t="s">
        <v>521</v>
      </c>
      <c r="M457" t="s">
        <v>47</v>
      </c>
      <c r="N457" t="s">
        <v>3125</v>
      </c>
      <c r="O457" t="s">
        <v>36</v>
      </c>
      <c r="P457" t="s">
        <v>61</v>
      </c>
      <c r="Q457" t="s">
        <v>3126</v>
      </c>
      <c r="R457">
        <v>393.16500000000002</v>
      </c>
      <c r="S457">
        <v>3</v>
      </c>
      <c r="T457">
        <v>0.5</v>
      </c>
      <c r="U457">
        <v>-204.44579999999999</v>
      </c>
      <c r="V457">
        <v>597.61080000000004</v>
      </c>
      <c r="W457">
        <v>196.58250000000001</v>
      </c>
      <c r="X457">
        <v>5.0199895985815514E-3</v>
      </c>
    </row>
    <row r="458" spans="1:24" x14ac:dyDescent="0.3">
      <c r="A458" t="s">
        <v>3127</v>
      </c>
      <c r="B458" t="s">
        <v>3128</v>
      </c>
      <c r="C458" s="1">
        <v>42551</v>
      </c>
      <c r="D458" s="1">
        <v>42556</v>
      </c>
      <c r="E458" t="s">
        <v>54</v>
      </c>
      <c r="F458" t="s">
        <v>3129</v>
      </c>
      <c r="G458" t="s">
        <v>3130</v>
      </c>
      <c r="H458" t="s">
        <v>29</v>
      </c>
      <c r="I458" t="s">
        <v>30</v>
      </c>
      <c r="J458" t="s">
        <v>261</v>
      </c>
      <c r="K458" t="s">
        <v>262</v>
      </c>
      <c r="L458" t="s">
        <v>263</v>
      </c>
      <c r="M458" t="s">
        <v>147</v>
      </c>
      <c r="N458" t="s">
        <v>3131</v>
      </c>
      <c r="O458" t="s">
        <v>49</v>
      </c>
      <c r="P458" t="s">
        <v>89</v>
      </c>
      <c r="Q458" t="s">
        <v>3132</v>
      </c>
      <c r="R458">
        <v>334.76799999999997</v>
      </c>
      <c r="S458">
        <v>7</v>
      </c>
      <c r="T458">
        <v>0.2</v>
      </c>
      <c r="U458">
        <v>108.7996</v>
      </c>
      <c r="V458">
        <v>225.96839999999997</v>
      </c>
      <c r="W458">
        <v>267.81439999999998</v>
      </c>
      <c r="X458">
        <v>3.0977782734223018E-2</v>
      </c>
    </row>
    <row r="459" spans="1:24" x14ac:dyDescent="0.3">
      <c r="A459" t="s">
        <v>3133</v>
      </c>
      <c r="B459" t="s">
        <v>3134</v>
      </c>
      <c r="C459" s="1">
        <v>43493</v>
      </c>
      <c r="D459" s="1">
        <v>43496</v>
      </c>
      <c r="E459" t="s">
        <v>26</v>
      </c>
      <c r="F459" t="s">
        <v>3135</v>
      </c>
      <c r="G459" t="s">
        <v>3136</v>
      </c>
      <c r="H459" t="s">
        <v>95</v>
      </c>
      <c r="I459" t="s">
        <v>30</v>
      </c>
      <c r="J459" t="s">
        <v>3137</v>
      </c>
      <c r="K459" t="s">
        <v>45</v>
      </c>
      <c r="L459" t="s">
        <v>3138</v>
      </c>
      <c r="M459" t="s">
        <v>47</v>
      </c>
      <c r="N459" t="s">
        <v>3139</v>
      </c>
      <c r="O459" t="s">
        <v>186</v>
      </c>
      <c r="P459" t="s">
        <v>228</v>
      </c>
      <c r="Q459" t="s">
        <v>3140</v>
      </c>
      <c r="R459">
        <v>239.97</v>
      </c>
      <c r="S459">
        <v>3</v>
      </c>
      <c r="T459">
        <v>0</v>
      </c>
      <c r="U459">
        <v>26.396699999999999</v>
      </c>
      <c r="V459">
        <v>213.57329999999999</v>
      </c>
      <c r="W459">
        <v>239.97</v>
      </c>
      <c r="X459">
        <v>1.4046699657681931E-2</v>
      </c>
    </row>
    <row r="460" spans="1:24" x14ac:dyDescent="0.3">
      <c r="A460" t="s">
        <v>3141</v>
      </c>
      <c r="B460" t="s">
        <v>3142</v>
      </c>
      <c r="C460" s="1">
        <v>42999</v>
      </c>
      <c r="D460" s="1">
        <v>43002</v>
      </c>
      <c r="E460" t="s">
        <v>180</v>
      </c>
      <c r="F460" t="s">
        <v>3143</v>
      </c>
      <c r="G460" t="s">
        <v>3144</v>
      </c>
      <c r="H460" t="s">
        <v>43</v>
      </c>
      <c r="I460" t="s">
        <v>30</v>
      </c>
      <c r="J460" t="s">
        <v>174</v>
      </c>
      <c r="K460" t="s">
        <v>97</v>
      </c>
      <c r="L460" t="s">
        <v>193</v>
      </c>
      <c r="M460" t="s">
        <v>99</v>
      </c>
      <c r="N460" t="s">
        <v>3145</v>
      </c>
      <c r="O460" t="s">
        <v>186</v>
      </c>
      <c r="P460" t="s">
        <v>187</v>
      </c>
      <c r="Q460" t="s">
        <v>3146</v>
      </c>
      <c r="R460">
        <v>946.34400000000005</v>
      </c>
      <c r="S460">
        <v>7</v>
      </c>
      <c r="T460">
        <v>0.2</v>
      </c>
      <c r="U460">
        <v>118.29300000000001</v>
      </c>
      <c r="V460">
        <v>828.05100000000004</v>
      </c>
      <c r="W460">
        <v>757.07520000000011</v>
      </c>
      <c r="X460">
        <v>8.4535855883272892E-3</v>
      </c>
    </row>
    <row r="461" spans="1:24" x14ac:dyDescent="0.3">
      <c r="A461" t="s">
        <v>3147</v>
      </c>
      <c r="B461" t="s">
        <v>3148</v>
      </c>
      <c r="C461" s="1">
        <v>43004</v>
      </c>
      <c r="D461" s="1">
        <v>43008</v>
      </c>
      <c r="E461" t="s">
        <v>54</v>
      </c>
      <c r="F461" t="s">
        <v>3149</v>
      </c>
      <c r="G461" t="s">
        <v>3150</v>
      </c>
      <c r="H461" t="s">
        <v>43</v>
      </c>
      <c r="I461" t="s">
        <v>30</v>
      </c>
      <c r="J461" t="s">
        <v>1584</v>
      </c>
      <c r="K461" t="s">
        <v>295</v>
      </c>
      <c r="L461" t="s">
        <v>1585</v>
      </c>
      <c r="M461" t="s">
        <v>47</v>
      </c>
      <c r="N461" t="s">
        <v>3151</v>
      </c>
      <c r="O461" t="s">
        <v>49</v>
      </c>
      <c r="P461" t="s">
        <v>79</v>
      </c>
      <c r="Q461" t="s">
        <v>3152</v>
      </c>
      <c r="R461">
        <v>86.272000000000006</v>
      </c>
      <c r="S461">
        <v>4</v>
      </c>
      <c r="T461">
        <v>0.2</v>
      </c>
      <c r="U461">
        <v>31.273599999999998</v>
      </c>
      <c r="V461">
        <v>54.998400000000004</v>
      </c>
      <c r="W461">
        <v>69.017600000000002</v>
      </c>
      <c r="X461">
        <v>7.2729388491301561E-2</v>
      </c>
    </row>
    <row r="462" spans="1:24" x14ac:dyDescent="0.3">
      <c r="A462" t="s">
        <v>3153</v>
      </c>
      <c r="B462" t="s">
        <v>3154</v>
      </c>
      <c r="C462" s="1">
        <v>43039</v>
      </c>
      <c r="D462" s="1">
        <v>43043</v>
      </c>
      <c r="E462" t="s">
        <v>26</v>
      </c>
      <c r="F462" t="s">
        <v>3155</v>
      </c>
      <c r="G462" t="s">
        <v>3156</v>
      </c>
      <c r="H462" t="s">
        <v>43</v>
      </c>
      <c r="I462" t="s">
        <v>30</v>
      </c>
      <c r="J462" t="s">
        <v>2282</v>
      </c>
      <c r="K462" t="s">
        <v>45</v>
      </c>
      <c r="L462" t="s">
        <v>2283</v>
      </c>
      <c r="M462" t="s">
        <v>47</v>
      </c>
      <c r="N462" t="s">
        <v>3157</v>
      </c>
      <c r="O462" t="s">
        <v>49</v>
      </c>
      <c r="P462" t="s">
        <v>89</v>
      </c>
      <c r="Q462" t="s">
        <v>3158</v>
      </c>
      <c r="R462">
        <v>9.7279999999999998</v>
      </c>
      <c r="S462">
        <v>2</v>
      </c>
      <c r="T462">
        <v>0.2</v>
      </c>
      <c r="U462">
        <v>3.2831999999999999</v>
      </c>
      <c r="V462">
        <v>6.4447999999999999</v>
      </c>
      <c r="W462">
        <v>7.7824</v>
      </c>
      <c r="X462">
        <v>0.31032770605759685</v>
      </c>
    </row>
    <row r="463" spans="1:24" x14ac:dyDescent="0.3">
      <c r="A463" t="s">
        <v>3159</v>
      </c>
      <c r="B463" t="s">
        <v>3160</v>
      </c>
      <c r="C463" s="1">
        <v>43636</v>
      </c>
      <c r="D463" s="1">
        <v>43643</v>
      </c>
      <c r="E463" t="s">
        <v>54</v>
      </c>
      <c r="F463" t="s">
        <v>3161</v>
      </c>
      <c r="G463" t="s">
        <v>3162</v>
      </c>
      <c r="H463" t="s">
        <v>29</v>
      </c>
      <c r="I463" t="s">
        <v>30</v>
      </c>
      <c r="J463" t="s">
        <v>3163</v>
      </c>
      <c r="K463" t="s">
        <v>476</v>
      </c>
      <c r="L463" t="s">
        <v>3164</v>
      </c>
      <c r="M463" t="s">
        <v>147</v>
      </c>
      <c r="N463" t="s">
        <v>3165</v>
      </c>
      <c r="O463" t="s">
        <v>49</v>
      </c>
      <c r="P463" t="s">
        <v>79</v>
      </c>
      <c r="Q463" t="s">
        <v>3166</v>
      </c>
      <c r="R463">
        <v>31.103999999999999</v>
      </c>
      <c r="S463">
        <v>6</v>
      </c>
      <c r="T463">
        <v>0.2</v>
      </c>
      <c r="U463">
        <v>10.8864</v>
      </c>
      <c r="V463">
        <v>20.217599999999997</v>
      </c>
      <c r="W463">
        <v>24.883200000000002</v>
      </c>
      <c r="X463">
        <v>0.29677113010446349</v>
      </c>
    </row>
    <row r="464" spans="1:24" x14ac:dyDescent="0.3">
      <c r="A464" t="s">
        <v>3167</v>
      </c>
      <c r="B464" t="s">
        <v>3168</v>
      </c>
      <c r="C464" s="1">
        <v>43818</v>
      </c>
      <c r="D464" s="1">
        <v>43823</v>
      </c>
      <c r="E464" t="s">
        <v>26</v>
      </c>
      <c r="F464" t="s">
        <v>3169</v>
      </c>
      <c r="G464" t="s">
        <v>3170</v>
      </c>
      <c r="H464" t="s">
        <v>29</v>
      </c>
      <c r="I464" t="s">
        <v>30</v>
      </c>
      <c r="J464" t="s">
        <v>126</v>
      </c>
      <c r="K464" t="s">
        <v>45</v>
      </c>
      <c r="L464" t="s">
        <v>957</v>
      </c>
      <c r="M464" t="s">
        <v>47</v>
      </c>
      <c r="N464" t="s">
        <v>3171</v>
      </c>
      <c r="O464" t="s">
        <v>49</v>
      </c>
      <c r="P464" t="s">
        <v>89</v>
      </c>
      <c r="Q464" t="s">
        <v>3172</v>
      </c>
      <c r="R464">
        <v>36.671999999999997</v>
      </c>
      <c r="S464">
        <v>2</v>
      </c>
      <c r="T464">
        <v>0.2</v>
      </c>
      <c r="U464">
        <v>11.46</v>
      </c>
      <c r="V464">
        <v>25.211999999999996</v>
      </c>
      <c r="W464">
        <v>29.337599999999998</v>
      </c>
      <c r="X464">
        <v>7.9327304458194525E-2</v>
      </c>
    </row>
    <row r="465" spans="1:24" x14ac:dyDescent="0.3">
      <c r="A465" t="s">
        <v>3173</v>
      </c>
      <c r="B465" t="s">
        <v>3174</v>
      </c>
      <c r="C465" s="1">
        <v>43682</v>
      </c>
      <c r="D465" s="1">
        <v>43685</v>
      </c>
      <c r="E465" t="s">
        <v>180</v>
      </c>
      <c r="F465" t="s">
        <v>3175</v>
      </c>
      <c r="G465" t="s">
        <v>3176</v>
      </c>
      <c r="H465" t="s">
        <v>43</v>
      </c>
      <c r="I465" t="s">
        <v>30</v>
      </c>
      <c r="J465" t="s">
        <v>1715</v>
      </c>
      <c r="K465" t="s">
        <v>32</v>
      </c>
      <c r="L465" t="s">
        <v>1716</v>
      </c>
      <c r="M465" t="s">
        <v>34</v>
      </c>
      <c r="N465" t="s">
        <v>3177</v>
      </c>
      <c r="O465" t="s">
        <v>49</v>
      </c>
      <c r="P465" t="s">
        <v>79</v>
      </c>
      <c r="Q465" t="s">
        <v>3178</v>
      </c>
      <c r="R465">
        <v>13.76</v>
      </c>
      <c r="S465">
        <v>2</v>
      </c>
      <c r="T465">
        <v>0</v>
      </c>
      <c r="U465">
        <v>6.3296000000000001</v>
      </c>
      <c r="V465">
        <v>7.4303999999999997</v>
      </c>
      <c r="W465">
        <v>13.76</v>
      </c>
      <c r="X465">
        <v>0.26916451335055985</v>
      </c>
    </row>
    <row r="466" spans="1:24" x14ac:dyDescent="0.3">
      <c r="A466" t="s">
        <v>3179</v>
      </c>
      <c r="B466" t="s">
        <v>3180</v>
      </c>
      <c r="C466" s="1">
        <v>43009</v>
      </c>
      <c r="D466" s="1">
        <v>43014</v>
      </c>
      <c r="E466" t="s">
        <v>54</v>
      </c>
      <c r="F466" t="s">
        <v>3181</v>
      </c>
      <c r="G466" t="s">
        <v>3182</v>
      </c>
      <c r="H466" t="s">
        <v>43</v>
      </c>
      <c r="I466" t="s">
        <v>30</v>
      </c>
      <c r="J466" t="s">
        <v>434</v>
      </c>
      <c r="K466" t="s">
        <v>435</v>
      </c>
      <c r="L466" t="s">
        <v>436</v>
      </c>
      <c r="M466" t="s">
        <v>47</v>
      </c>
      <c r="N466" t="s">
        <v>1698</v>
      </c>
      <c r="O466" t="s">
        <v>49</v>
      </c>
      <c r="P466" t="s">
        <v>111</v>
      </c>
      <c r="Q466" t="s">
        <v>1699</v>
      </c>
      <c r="R466">
        <v>139.42400000000001</v>
      </c>
      <c r="S466">
        <v>4</v>
      </c>
      <c r="T466">
        <v>0.2</v>
      </c>
      <c r="U466">
        <v>17.428000000000001</v>
      </c>
      <c r="V466">
        <v>121.99600000000001</v>
      </c>
      <c r="W466">
        <v>111.53920000000001</v>
      </c>
      <c r="X466">
        <v>3.2787960260992163E-2</v>
      </c>
    </row>
    <row r="467" spans="1:24" x14ac:dyDescent="0.3">
      <c r="A467" t="s">
        <v>3183</v>
      </c>
      <c r="B467" t="s">
        <v>3184</v>
      </c>
      <c r="C467" s="1">
        <v>42935</v>
      </c>
      <c r="D467" s="1">
        <v>42936</v>
      </c>
      <c r="E467" t="s">
        <v>180</v>
      </c>
      <c r="F467" t="s">
        <v>3185</v>
      </c>
      <c r="G467" t="s">
        <v>3186</v>
      </c>
      <c r="H467" t="s">
        <v>29</v>
      </c>
      <c r="I467" t="s">
        <v>30</v>
      </c>
      <c r="J467" t="s">
        <v>520</v>
      </c>
      <c r="K467" t="s">
        <v>295</v>
      </c>
      <c r="L467" t="s">
        <v>521</v>
      </c>
      <c r="M467" t="s">
        <v>47</v>
      </c>
      <c r="N467" t="s">
        <v>3187</v>
      </c>
      <c r="O467" t="s">
        <v>49</v>
      </c>
      <c r="P467" t="s">
        <v>89</v>
      </c>
      <c r="Q467" t="s">
        <v>3188</v>
      </c>
      <c r="R467">
        <v>2.0249999999999999</v>
      </c>
      <c r="S467">
        <v>1</v>
      </c>
      <c r="T467">
        <v>0.7</v>
      </c>
      <c r="U467">
        <v>-1.35</v>
      </c>
      <c r="V467">
        <v>3.375</v>
      </c>
      <c r="W467">
        <v>0.60750000000000004</v>
      </c>
      <c r="X467">
        <v>0.29629629629629628</v>
      </c>
    </row>
    <row r="468" spans="1:24" x14ac:dyDescent="0.3">
      <c r="A468" t="s">
        <v>3189</v>
      </c>
      <c r="B468" t="s">
        <v>3190</v>
      </c>
      <c r="C468" s="1">
        <v>43430</v>
      </c>
      <c r="D468" s="1">
        <v>43433</v>
      </c>
      <c r="E468" t="s">
        <v>180</v>
      </c>
      <c r="F468" t="s">
        <v>3191</v>
      </c>
      <c r="G468" t="s">
        <v>3192</v>
      </c>
      <c r="H468" t="s">
        <v>43</v>
      </c>
      <c r="I468" t="s">
        <v>30</v>
      </c>
      <c r="J468" t="s">
        <v>3193</v>
      </c>
      <c r="K468" t="s">
        <v>335</v>
      </c>
      <c r="L468" t="s">
        <v>3194</v>
      </c>
      <c r="M468" t="s">
        <v>34</v>
      </c>
      <c r="N468" t="s">
        <v>3195</v>
      </c>
      <c r="O468" t="s">
        <v>49</v>
      </c>
      <c r="P468" t="s">
        <v>79</v>
      </c>
      <c r="Q468" t="s">
        <v>177</v>
      </c>
      <c r="R468">
        <v>70.98</v>
      </c>
      <c r="S468">
        <v>7</v>
      </c>
      <c r="T468">
        <v>0</v>
      </c>
      <c r="U468">
        <v>34.780200000000001</v>
      </c>
      <c r="V468">
        <v>36.199800000000003</v>
      </c>
      <c r="W468">
        <v>70.98</v>
      </c>
      <c r="X468">
        <v>0.19337123409521598</v>
      </c>
    </row>
    <row r="469" spans="1:24" x14ac:dyDescent="0.3">
      <c r="A469" t="s">
        <v>3196</v>
      </c>
      <c r="B469" t="s">
        <v>3197</v>
      </c>
      <c r="C469" s="1">
        <v>43628</v>
      </c>
      <c r="D469" s="1">
        <v>43635</v>
      </c>
      <c r="E469" t="s">
        <v>54</v>
      </c>
      <c r="F469" t="s">
        <v>3198</v>
      </c>
      <c r="G469" t="s">
        <v>3199</v>
      </c>
      <c r="H469" t="s">
        <v>95</v>
      </c>
      <c r="I469" t="s">
        <v>30</v>
      </c>
      <c r="J469" t="s">
        <v>475</v>
      </c>
      <c r="K469" t="s">
        <v>1136</v>
      </c>
      <c r="L469" t="s">
        <v>1137</v>
      </c>
      <c r="M469" t="s">
        <v>34</v>
      </c>
      <c r="N469" t="s">
        <v>3200</v>
      </c>
      <c r="O469" t="s">
        <v>49</v>
      </c>
      <c r="P469" t="s">
        <v>89</v>
      </c>
      <c r="Q469" t="s">
        <v>3201</v>
      </c>
      <c r="R469">
        <v>91.2</v>
      </c>
      <c r="S469">
        <v>3</v>
      </c>
      <c r="T469">
        <v>0</v>
      </c>
      <c r="U469">
        <v>41.951999999999998</v>
      </c>
      <c r="V469">
        <v>49.248000000000005</v>
      </c>
      <c r="W469">
        <v>91.2</v>
      </c>
      <c r="X469">
        <v>6.0916179337231965E-2</v>
      </c>
    </row>
    <row r="470" spans="1:24" x14ac:dyDescent="0.3">
      <c r="A470" t="s">
        <v>3202</v>
      </c>
      <c r="B470" t="s">
        <v>3203</v>
      </c>
      <c r="C470" s="1">
        <v>43368</v>
      </c>
      <c r="D470" s="1">
        <v>43374</v>
      </c>
      <c r="E470" t="s">
        <v>54</v>
      </c>
      <c r="F470" t="s">
        <v>3204</v>
      </c>
      <c r="G470" t="s">
        <v>3205</v>
      </c>
      <c r="H470" t="s">
        <v>43</v>
      </c>
      <c r="I470" t="s">
        <v>30</v>
      </c>
      <c r="J470" t="s">
        <v>3206</v>
      </c>
      <c r="K470" t="s">
        <v>97</v>
      </c>
      <c r="L470" t="s">
        <v>3207</v>
      </c>
      <c r="M470" t="s">
        <v>99</v>
      </c>
      <c r="N470" t="s">
        <v>2173</v>
      </c>
      <c r="O470" t="s">
        <v>49</v>
      </c>
      <c r="P470" t="s">
        <v>50</v>
      </c>
      <c r="Q470" t="s">
        <v>2174</v>
      </c>
      <c r="R470">
        <v>15.936</v>
      </c>
      <c r="S470">
        <v>4</v>
      </c>
      <c r="T470">
        <v>0.2</v>
      </c>
      <c r="U470">
        <v>5.1791999999999998</v>
      </c>
      <c r="V470">
        <v>10.7568</v>
      </c>
      <c r="W470">
        <v>12.748800000000001</v>
      </c>
      <c r="X470">
        <v>0.37185780157667708</v>
      </c>
    </row>
    <row r="471" spans="1:24" x14ac:dyDescent="0.3">
      <c r="A471" t="s">
        <v>3208</v>
      </c>
      <c r="B471" t="s">
        <v>3209</v>
      </c>
      <c r="C471" s="1">
        <v>43170</v>
      </c>
      <c r="D471" s="1">
        <v>43174</v>
      </c>
      <c r="E471" t="s">
        <v>54</v>
      </c>
      <c r="F471" t="s">
        <v>3210</v>
      </c>
      <c r="G471" t="s">
        <v>3211</v>
      </c>
      <c r="H471" t="s">
        <v>29</v>
      </c>
      <c r="I471" t="s">
        <v>30</v>
      </c>
      <c r="J471" t="s">
        <v>3212</v>
      </c>
      <c r="K471" t="s">
        <v>751</v>
      </c>
      <c r="L471" t="s">
        <v>3213</v>
      </c>
      <c r="M471" t="s">
        <v>147</v>
      </c>
      <c r="N471" t="s">
        <v>2615</v>
      </c>
      <c r="O471" t="s">
        <v>36</v>
      </c>
      <c r="P471" t="s">
        <v>61</v>
      </c>
      <c r="Q471" t="s">
        <v>2616</v>
      </c>
      <c r="R471">
        <v>244.006</v>
      </c>
      <c r="S471">
        <v>2</v>
      </c>
      <c r="T471">
        <v>0.3</v>
      </c>
      <c r="U471">
        <v>-31.372199999999999</v>
      </c>
      <c r="V471">
        <v>275.37819999999999</v>
      </c>
      <c r="W471">
        <v>170.80419999999998</v>
      </c>
      <c r="X471">
        <v>7.2627390258197637E-3</v>
      </c>
    </row>
    <row r="472" spans="1:24" x14ac:dyDescent="0.3">
      <c r="A472" t="s">
        <v>3214</v>
      </c>
      <c r="B472" t="s">
        <v>3215</v>
      </c>
      <c r="C472" s="1">
        <v>43450</v>
      </c>
      <c r="D472" s="1">
        <v>43453</v>
      </c>
      <c r="E472" t="s">
        <v>180</v>
      </c>
      <c r="F472" t="s">
        <v>3216</v>
      </c>
      <c r="G472" t="s">
        <v>3217</v>
      </c>
      <c r="H472" t="s">
        <v>43</v>
      </c>
      <c r="I472" t="s">
        <v>30</v>
      </c>
      <c r="J472" t="s">
        <v>261</v>
      </c>
      <c r="K472" t="s">
        <v>262</v>
      </c>
      <c r="L472" t="s">
        <v>312</v>
      </c>
      <c r="M472" t="s">
        <v>147</v>
      </c>
      <c r="N472" t="s">
        <v>2645</v>
      </c>
      <c r="O472" t="s">
        <v>49</v>
      </c>
      <c r="P472" t="s">
        <v>265</v>
      </c>
      <c r="Q472" t="s">
        <v>2646</v>
      </c>
      <c r="R472">
        <v>3.68</v>
      </c>
      <c r="S472">
        <v>2</v>
      </c>
      <c r="T472">
        <v>0</v>
      </c>
      <c r="U472">
        <v>1.8031999999999999</v>
      </c>
      <c r="V472">
        <v>1.8768000000000002</v>
      </c>
      <c r="W472">
        <v>3.68</v>
      </c>
      <c r="X472">
        <v>1.0656436487638532</v>
      </c>
    </row>
    <row r="473" spans="1:24" x14ac:dyDescent="0.3">
      <c r="A473" t="s">
        <v>3218</v>
      </c>
      <c r="B473" t="s">
        <v>3219</v>
      </c>
      <c r="C473" s="1">
        <v>43657</v>
      </c>
      <c r="D473" s="1">
        <v>43661</v>
      </c>
      <c r="E473" t="s">
        <v>54</v>
      </c>
      <c r="F473" t="s">
        <v>3220</v>
      </c>
      <c r="G473" t="s">
        <v>3221</v>
      </c>
      <c r="H473" t="s">
        <v>43</v>
      </c>
      <c r="I473" t="s">
        <v>30</v>
      </c>
      <c r="J473" t="s">
        <v>44</v>
      </c>
      <c r="K473" t="s">
        <v>45</v>
      </c>
      <c r="L473" t="s">
        <v>279</v>
      </c>
      <c r="M473" t="s">
        <v>47</v>
      </c>
      <c r="N473" t="s">
        <v>2308</v>
      </c>
      <c r="O473" t="s">
        <v>49</v>
      </c>
      <c r="P473" t="s">
        <v>50</v>
      </c>
      <c r="Q473" t="s">
        <v>2309</v>
      </c>
      <c r="R473">
        <v>8.67</v>
      </c>
      <c r="S473">
        <v>3</v>
      </c>
      <c r="T473">
        <v>0</v>
      </c>
      <c r="U473">
        <v>4.0749000000000004</v>
      </c>
      <c r="V473">
        <v>4.5950999999999995</v>
      </c>
      <c r="W473">
        <v>8.67</v>
      </c>
      <c r="X473">
        <v>0.65286936084089575</v>
      </c>
    </row>
    <row r="474" spans="1:24" x14ac:dyDescent="0.3">
      <c r="A474" t="s">
        <v>3222</v>
      </c>
      <c r="B474" t="s">
        <v>3223</v>
      </c>
      <c r="C474" s="1">
        <v>43423</v>
      </c>
      <c r="D474" s="1">
        <v>43429</v>
      </c>
      <c r="E474" t="s">
        <v>54</v>
      </c>
      <c r="F474" t="s">
        <v>3224</v>
      </c>
      <c r="G474" t="s">
        <v>3225</v>
      </c>
      <c r="H474" t="s">
        <v>95</v>
      </c>
      <c r="I474" t="s">
        <v>30</v>
      </c>
      <c r="J474" t="s">
        <v>3226</v>
      </c>
      <c r="K474" t="s">
        <v>262</v>
      </c>
      <c r="L474" t="s">
        <v>3227</v>
      </c>
      <c r="M474" t="s">
        <v>147</v>
      </c>
      <c r="N474" t="s">
        <v>3228</v>
      </c>
      <c r="O474" t="s">
        <v>49</v>
      </c>
      <c r="P474" t="s">
        <v>129</v>
      </c>
      <c r="Q474" t="s">
        <v>3229</v>
      </c>
      <c r="R474">
        <v>17.28</v>
      </c>
      <c r="S474">
        <v>6</v>
      </c>
      <c r="T474">
        <v>0</v>
      </c>
      <c r="U474">
        <v>5.0111999999999997</v>
      </c>
      <c r="V474">
        <v>12.268800000000002</v>
      </c>
      <c r="W474">
        <v>17.28</v>
      </c>
      <c r="X474">
        <v>0.48904538341158049</v>
      </c>
    </row>
    <row r="475" spans="1:24" x14ac:dyDescent="0.3">
      <c r="A475" t="s">
        <v>3230</v>
      </c>
      <c r="B475" t="s">
        <v>3231</v>
      </c>
      <c r="C475" s="1">
        <v>43417</v>
      </c>
      <c r="D475" s="1">
        <v>43421</v>
      </c>
      <c r="E475" t="s">
        <v>54</v>
      </c>
      <c r="F475" t="s">
        <v>3232</v>
      </c>
      <c r="G475" t="s">
        <v>3233</v>
      </c>
      <c r="H475" t="s">
        <v>29</v>
      </c>
      <c r="I475" t="s">
        <v>30</v>
      </c>
      <c r="J475" t="s">
        <v>3234</v>
      </c>
      <c r="K475" t="s">
        <v>76</v>
      </c>
      <c r="L475" t="s">
        <v>3235</v>
      </c>
      <c r="M475" t="s">
        <v>34</v>
      </c>
      <c r="N475" t="s">
        <v>3236</v>
      </c>
      <c r="O475" t="s">
        <v>49</v>
      </c>
      <c r="P475" t="s">
        <v>1705</v>
      </c>
      <c r="Q475" t="s">
        <v>3237</v>
      </c>
      <c r="R475">
        <v>52.136000000000003</v>
      </c>
      <c r="S475">
        <v>7</v>
      </c>
      <c r="T475">
        <v>0.2</v>
      </c>
      <c r="U475">
        <v>5.8653000000000004</v>
      </c>
      <c r="V475">
        <v>46.270700000000005</v>
      </c>
      <c r="W475">
        <v>41.708800000000004</v>
      </c>
      <c r="X475">
        <v>0.15128364169982297</v>
      </c>
    </row>
    <row r="476" spans="1:24" x14ac:dyDescent="0.3">
      <c r="A476" t="s">
        <v>3238</v>
      </c>
      <c r="B476" t="s">
        <v>3239</v>
      </c>
      <c r="C476" s="1">
        <v>42701</v>
      </c>
      <c r="D476" s="1">
        <v>42707</v>
      </c>
      <c r="E476" t="s">
        <v>54</v>
      </c>
      <c r="F476" t="s">
        <v>3240</v>
      </c>
      <c r="G476" t="s">
        <v>3241</v>
      </c>
      <c r="H476" t="s">
        <v>29</v>
      </c>
      <c r="I476" t="s">
        <v>30</v>
      </c>
      <c r="J476" t="s">
        <v>261</v>
      </c>
      <c r="K476" t="s">
        <v>262</v>
      </c>
      <c r="L476" t="s">
        <v>459</v>
      </c>
      <c r="M476" t="s">
        <v>147</v>
      </c>
      <c r="N476" t="s">
        <v>3242</v>
      </c>
      <c r="O476" t="s">
        <v>49</v>
      </c>
      <c r="P476" t="s">
        <v>265</v>
      </c>
      <c r="Q476" t="s">
        <v>1545</v>
      </c>
      <c r="R476">
        <v>3.76</v>
      </c>
      <c r="S476">
        <v>2</v>
      </c>
      <c r="T476">
        <v>0</v>
      </c>
      <c r="U476">
        <v>1.3160000000000001</v>
      </c>
      <c r="V476">
        <v>2.444</v>
      </c>
      <c r="W476">
        <v>3.76</v>
      </c>
      <c r="X476">
        <v>0.81833060556464809</v>
      </c>
    </row>
    <row r="477" spans="1:24" x14ac:dyDescent="0.3">
      <c r="A477" t="s">
        <v>3243</v>
      </c>
      <c r="B477" t="s">
        <v>3244</v>
      </c>
      <c r="C477" s="1">
        <v>43042</v>
      </c>
      <c r="D477" s="1">
        <v>43046</v>
      </c>
      <c r="E477" t="s">
        <v>54</v>
      </c>
      <c r="F477" t="s">
        <v>3245</v>
      </c>
      <c r="G477" t="s">
        <v>3246</v>
      </c>
      <c r="H477" t="s">
        <v>95</v>
      </c>
      <c r="I477" t="s">
        <v>30</v>
      </c>
      <c r="J477" t="s">
        <v>44</v>
      </c>
      <c r="K477" t="s">
        <v>45</v>
      </c>
      <c r="L477" t="s">
        <v>1669</v>
      </c>
      <c r="M477" t="s">
        <v>47</v>
      </c>
      <c r="N477" t="s">
        <v>3247</v>
      </c>
      <c r="O477" t="s">
        <v>186</v>
      </c>
      <c r="P477" t="s">
        <v>187</v>
      </c>
      <c r="Q477" t="s">
        <v>3248</v>
      </c>
      <c r="R477">
        <v>1212.848</v>
      </c>
      <c r="S477">
        <v>7</v>
      </c>
      <c r="T477">
        <v>0.2</v>
      </c>
      <c r="U477">
        <v>106.1242</v>
      </c>
      <c r="V477">
        <v>1106.7238</v>
      </c>
      <c r="W477">
        <v>970.27840000000003</v>
      </c>
      <c r="X477">
        <v>6.3249746684764527E-3</v>
      </c>
    </row>
    <row r="478" spans="1:24" x14ac:dyDescent="0.3">
      <c r="A478" t="s">
        <v>3249</v>
      </c>
      <c r="B478" t="s">
        <v>3250</v>
      </c>
      <c r="C478" s="1">
        <v>42703</v>
      </c>
      <c r="D478" s="1">
        <v>42710</v>
      </c>
      <c r="E478" t="s">
        <v>54</v>
      </c>
      <c r="F478" t="s">
        <v>3251</v>
      </c>
      <c r="G478" t="s">
        <v>3252</v>
      </c>
      <c r="H478" t="s">
        <v>29</v>
      </c>
      <c r="I478" t="s">
        <v>30</v>
      </c>
      <c r="J478" t="s">
        <v>144</v>
      </c>
      <c r="K478" t="s">
        <v>145</v>
      </c>
      <c r="L478" t="s">
        <v>1052</v>
      </c>
      <c r="M478" t="s">
        <v>147</v>
      </c>
      <c r="N478" t="s">
        <v>3253</v>
      </c>
      <c r="O478" t="s">
        <v>49</v>
      </c>
      <c r="P478" t="s">
        <v>50</v>
      </c>
      <c r="Q478" t="s">
        <v>3254</v>
      </c>
      <c r="R478">
        <v>5.04</v>
      </c>
      <c r="S478">
        <v>2</v>
      </c>
      <c r="T478">
        <v>0.2</v>
      </c>
      <c r="U478">
        <v>1.764</v>
      </c>
      <c r="V478">
        <v>3.2759999999999998</v>
      </c>
      <c r="W478">
        <v>4.032</v>
      </c>
      <c r="X478">
        <v>0.61050061050061055</v>
      </c>
    </row>
    <row r="479" spans="1:24" x14ac:dyDescent="0.3">
      <c r="A479" t="s">
        <v>3255</v>
      </c>
      <c r="B479" t="s">
        <v>3256</v>
      </c>
      <c r="C479" s="1">
        <v>43793</v>
      </c>
      <c r="D479" s="1">
        <v>43797</v>
      </c>
      <c r="E479" t="s">
        <v>54</v>
      </c>
      <c r="F479" t="s">
        <v>3257</v>
      </c>
      <c r="G479" t="s">
        <v>3258</v>
      </c>
      <c r="H479" t="s">
        <v>43</v>
      </c>
      <c r="I479" t="s">
        <v>30</v>
      </c>
      <c r="J479" t="s">
        <v>261</v>
      </c>
      <c r="K479" t="s">
        <v>262</v>
      </c>
      <c r="L479" t="s">
        <v>459</v>
      </c>
      <c r="M479" t="s">
        <v>147</v>
      </c>
      <c r="N479" t="s">
        <v>3259</v>
      </c>
      <c r="O479" t="s">
        <v>49</v>
      </c>
      <c r="P479" t="s">
        <v>79</v>
      </c>
      <c r="Q479" t="s">
        <v>3260</v>
      </c>
      <c r="R479">
        <v>5.88</v>
      </c>
      <c r="S479">
        <v>1</v>
      </c>
      <c r="T479">
        <v>0</v>
      </c>
      <c r="U479">
        <v>2.8812000000000002</v>
      </c>
      <c r="V479">
        <v>2.9987999999999997</v>
      </c>
      <c r="W479">
        <v>5.88</v>
      </c>
      <c r="X479">
        <v>0.33346672002134192</v>
      </c>
    </row>
    <row r="480" spans="1:24" x14ac:dyDescent="0.3">
      <c r="A480" t="s">
        <v>3261</v>
      </c>
      <c r="B480" t="s">
        <v>3262</v>
      </c>
      <c r="C480" s="1">
        <v>43768</v>
      </c>
      <c r="D480" s="1">
        <v>43772</v>
      </c>
      <c r="E480" t="s">
        <v>54</v>
      </c>
      <c r="F480" t="s">
        <v>3263</v>
      </c>
      <c r="G480" t="s">
        <v>3264</v>
      </c>
      <c r="H480" t="s">
        <v>43</v>
      </c>
      <c r="I480" t="s">
        <v>30</v>
      </c>
      <c r="J480" t="s">
        <v>1869</v>
      </c>
      <c r="K480" t="s">
        <v>86</v>
      </c>
      <c r="L480" t="s">
        <v>1870</v>
      </c>
      <c r="M480" t="s">
        <v>47</v>
      </c>
      <c r="N480" t="s">
        <v>3265</v>
      </c>
      <c r="O480" t="s">
        <v>36</v>
      </c>
      <c r="P480" t="s">
        <v>69</v>
      </c>
      <c r="Q480" t="s">
        <v>3266</v>
      </c>
      <c r="R480">
        <v>9.64</v>
      </c>
      <c r="S480">
        <v>2</v>
      </c>
      <c r="T480">
        <v>0</v>
      </c>
      <c r="U480">
        <v>3.6631999999999998</v>
      </c>
      <c r="V480">
        <v>5.9768000000000008</v>
      </c>
      <c r="W480">
        <v>9.64</v>
      </c>
      <c r="X480">
        <v>0.33462722527104799</v>
      </c>
    </row>
    <row r="481" spans="1:24" x14ac:dyDescent="0.3">
      <c r="A481" t="s">
        <v>3267</v>
      </c>
      <c r="B481" t="s">
        <v>3268</v>
      </c>
      <c r="C481" s="1">
        <v>43712</v>
      </c>
      <c r="D481" s="1">
        <v>43716</v>
      </c>
      <c r="E481" t="s">
        <v>54</v>
      </c>
      <c r="F481" t="s">
        <v>3269</v>
      </c>
      <c r="G481" t="s">
        <v>3270</v>
      </c>
      <c r="H481" t="s">
        <v>29</v>
      </c>
      <c r="I481" t="s">
        <v>30</v>
      </c>
      <c r="J481" t="s">
        <v>3271</v>
      </c>
      <c r="K481" t="s">
        <v>97</v>
      </c>
      <c r="L481" t="s">
        <v>3272</v>
      </c>
      <c r="M481" t="s">
        <v>99</v>
      </c>
      <c r="N481" t="s">
        <v>3273</v>
      </c>
      <c r="O481" t="s">
        <v>49</v>
      </c>
      <c r="P481" t="s">
        <v>129</v>
      </c>
      <c r="Q481" t="s">
        <v>3274</v>
      </c>
      <c r="R481">
        <v>10.192</v>
      </c>
      <c r="S481">
        <v>7</v>
      </c>
      <c r="T481">
        <v>0.2</v>
      </c>
      <c r="U481">
        <v>3.1850000000000001</v>
      </c>
      <c r="V481">
        <v>7.0069999999999997</v>
      </c>
      <c r="W481">
        <v>8.1536000000000008</v>
      </c>
      <c r="X481">
        <v>0.99900099900099903</v>
      </c>
    </row>
    <row r="482" spans="1:24" x14ac:dyDescent="0.3">
      <c r="A482" t="s">
        <v>3275</v>
      </c>
      <c r="B482" t="s">
        <v>3276</v>
      </c>
      <c r="C482" s="1">
        <v>42948</v>
      </c>
      <c r="D482" s="1">
        <v>42954</v>
      </c>
      <c r="E482" t="s">
        <v>54</v>
      </c>
      <c r="F482" t="s">
        <v>3277</v>
      </c>
      <c r="G482" t="s">
        <v>3278</v>
      </c>
      <c r="H482" t="s">
        <v>95</v>
      </c>
      <c r="I482" t="s">
        <v>30</v>
      </c>
      <c r="J482" t="s">
        <v>44</v>
      </c>
      <c r="K482" t="s">
        <v>45</v>
      </c>
      <c r="L482" t="s">
        <v>279</v>
      </c>
      <c r="M482" t="s">
        <v>47</v>
      </c>
      <c r="N482" t="s">
        <v>3279</v>
      </c>
      <c r="O482" t="s">
        <v>49</v>
      </c>
      <c r="P482" t="s">
        <v>129</v>
      </c>
      <c r="Q482" t="s">
        <v>3280</v>
      </c>
      <c r="R482">
        <v>6.72</v>
      </c>
      <c r="S482">
        <v>4</v>
      </c>
      <c r="T482">
        <v>0</v>
      </c>
      <c r="U482">
        <v>3.36</v>
      </c>
      <c r="V482">
        <v>3.36</v>
      </c>
      <c r="W482">
        <v>6.72</v>
      </c>
      <c r="X482">
        <v>1.1904761904761905</v>
      </c>
    </row>
    <row r="483" spans="1:24" x14ac:dyDescent="0.3">
      <c r="A483" t="s">
        <v>3281</v>
      </c>
      <c r="B483" t="s">
        <v>3282</v>
      </c>
      <c r="C483" s="1">
        <v>43823</v>
      </c>
      <c r="D483" s="1">
        <v>43828</v>
      </c>
      <c r="E483" t="s">
        <v>54</v>
      </c>
      <c r="F483" t="s">
        <v>3283</v>
      </c>
      <c r="G483" t="s">
        <v>3284</v>
      </c>
      <c r="H483" t="s">
        <v>29</v>
      </c>
      <c r="I483" t="s">
        <v>30</v>
      </c>
      <c r="J483" t="s">
        <v>261</v>
      </c>
      <c r="K483" t="s">
        <v>262</v>
      </c>
      <c r="L483" t="s">
        <v>263</v>
      </c>
      <c r="M483" t="s">
        <v>147</v>
      </c>
      <c r="N483" t="s">
        <v>3285</v>
      </c>
      <c r="O483" t="s">
        <v>49</v>
      </c>
      <c r="P483" t="s">
        <v>89</v>
      </c>
      <c r="Q483" t="s">
        <v>3286</v>
      </c>
      <c r="R483">
        <v>17.88</v>
      </c>
      <c r="S483">
        <v>3</v>
      </c>
      <c r="T483">
        <v>0.2</v>
      </c>
      <c r="U483">
        <v>5.5875000000000004</v>
      </c>
      <c r="V483">
        <v>12.292499999999999</v>
      </c>
      <c r="W483">
        <v>14.304</v>
      </c>
      <c r="X483">
        <v>0.24405125076266018</v>
      </c>
    </row>
    <row r="484" spans="1:24" x14ac:dyDescent="0.3">
      <c r="A484" t="s">
        <v>3287</v>
      </c>
      <c r="B484" t="s">
        <v>3288</v>
      </c>
      <c r="C484" s="1">
        <v>43810</v>
      </c>
      <c r="D484" s="1">
        <v>43816</v>
      </c>
      <c r="E484" t="s">
        <v>54</v>
      </c>
      <c r="F484" t="s">
        <v>3289</v>
      </c>
      <c r="G484" t="s">
        <v>3290</v>
      </c>
      <c r="H484" t="s">
        <v>29</v>
      </c>
      <c r="I484" t="s">
        <v>30</v>
      </c>
      <c r="J484" t="s">
        <v>144</v>
      </c>
      <c r="K484" t="s">
        <v>145</v>
      </c>
      <c r="L484" t="s">
        <v>759</v>
      </c>
      <c r="M484" t="s">
        <v>147</v>
      </c>
      <c r="N484" t="s">
        <v>3070</v>
      </c>
      <c r="O484" t="s">
        <v>36</v>
      </c>
      <c r="P484" t="s">
        <v>149</v>
      </c>
      <c r="Q484" t="s">
        <v>3071</v>
      </c>
      <c r="R484">
        <v>63.686</v>
      </c>
      <c r="S484">
        <v>1</v>
      </c>
      <c r="T484">
        <v>0.3</v>
      </c>
      <c r="U484">
        <v>-9.0980000000000008</v>
      </c>
      <c r="V484">
        <v>72.784000000000006</v>
      </c>
      <c r="W484">
        <v>44.580199999999998</v>
      </c>
      <c r="X484">
        <v>1.3739283358979995E-2</v>
      </c>
    </row>
    <row r="485" spans="1:24" x14ac:dyDescent="0.3">
      <c r="A485" t="s">
        <v>3291</v>
      </c>
      <c r="B485" t="s">
        <v>3292</v>
      </c>
      <c r="C485" s="1">
        <v>42403</v>
      </c>
      <c r="D485" s="1">
        <v>42406</v>
      </c>
      <c r="E485" t="s">
        <v>26</v>
      </c>
      <c r="F485" t="s">
        <v>3293</v>
      </c>
      <c r="G485" t="s">
        <v>3294</v>
      </c>
      <c r="H485" t="s">
        <v>29</v>
      </c>
      <c r="I485" t="s">
        <v>30</v>
      </c>
      <c r="J485" t="s">
        <v>85</v>
      </c>
      <c r="K485" t="s">
        <v>86</v>
      </c>
      <c r="L485" t="s">
        <v>606</v>
      </c>
      <c r="M485" t="s">
        <v>47</v>
      </c>
      <c r="N485" t="s">
        <v>1075</v>
      </c>
      <c r="O485" t="s">
        <v>49</v>
      </c>
      <c r="P485" t="s">
        <v>89</v>
      </c>
      <c r="Q485" t="s">
        <v>1076</v>
      </c>
      <c r="R485">
        <v>83.84</v>
      </c>
      <c r="S485">
        <v>2</v>
      </c>
      <c r="T485">
        <v>0.2</v>
      </c>
      <c r="U485">
        <v>27.248000000000001</v>
      </c>
      <c r="V485">
        <v>56.591999999999999</v>
      </c>
      <c r="W485">
        <v>67.072000000000003</v>
      </c>
      <c r="X485">
        <v>3.5340684195646031E-2</v>
      </c>
    </row>
    <row r="486" spans="1:24" x14ac:dyDescent="0.3">
      <c r="A486" t="s">
        <v>3295</v>
      </c>
      <c r="B486" t="s">
        <v>3296</v>
      </c>
      <c r="C486" s="1">
        <v>43571</v>
      </c>
      <c r="D486" s="1">
        <v>43576</v>
      </c>
      <c r="E486" t="s">
        <v>54</v>
      </c>
      <c r="F486" t="s">
        <v>3297</v>
      </c>
      <c r="G486" t="s">
        <v>3298</v>
      </c>
      <c r="H486" t="s">
        <v>95</v>
      </c>
      <c r="I486" t="s">
        <v>30</v>
      </c>
      <c r="J486" t="s">
        <v>286</v>
      </c>
      <c r="K486" t="s">
        <v>202</v>
      </c>
      <c r="L486" t="s">
        <v>287</v>
      </c>
      <c r="M486" t="s">
        <v>99</v>
      </c>
      <c r="N486" t="s">
        <v>3299</v>
      </c>
      <c r="O486" t="s">
        <v>49</v>
      </c>
      <c r="P486" t="s">
        <v>129</v>
      </c>
      <c r="Q486" t="s">
        <v>3300</v>
      </c>
      <c r="R486">
        <v>16.52</v>
      </c>
      <c r="S486">
        <v>5</v>
      </c>
      <c r="T486">
        <v>0.2</v>
      </c>
      <c r="U486">
        <v>2.0649999999999999</v>
      </c>
      <c r="V486">
        <v>14.455</v>
      </c>
      <c r="W486">
        <v>13.216000000000001</v>
      </c>
      <c r="X486">
        <v>0.34590107229332412</v>
      </c>
    </row>
    <row r="487" spans="1:24" x14ac:dyDescent="0.3">
      <c r="A487" t="s">
        <v>3301</v>
      </c>
      <c r="B487" t="s">
        <v>3302</v>
      </c>
      <c r="C487" s="1">
        <v>43075</v>
      </c>
      <c r="D487" s="1">
        <v>43080</v>
      </c>
      <c r="E487" t="s">
        <v>54</v>
      </c>
      <c r="F487" t="s">
        <v>3303</v>
      </c>
      <c r="G487" t="s">
        <v>3304</v>
      </c>
      <c r="H487" t="s">
        <v>29</v>
      </c>
      <c r="I487" t="s">
        <v>30</v>
      </c>
      <c r="J487" t="s">
        <v>1171</v>
      </c>
      <c r="K487" t="s">
        <v>295</v>
      </c>
      <c r="L487" t="s">
        <v>1172</v>
      </c>
      <c r="M487" t="s">
        <v>47</v>
      </c>
      <c r="N487" t="s">
        <v>3305</v>
      </c>
      <c r="O487" t="s">
        <v>36</v>
      </c>
      <c r="P487" t="s">
        <v>69</v>
      </c>
      <c r="Q487" t="s">
        <v>3306</v>
      </c>
      <c r="R487">
        <v>206.11199999999999</v>
      </c>
      <c r="S487">
        <v>6</v>
      </c>
      <c r="T487">
        <v>0.2</v>
      </c>
      <c r="U487">
        <v>48.951599999999999</v>
      </c>
      <c r="V487">
        <v>157.16039999999998</v>
      </c>
      <c r="W487">
        <v>164.8896</v>
      </c>
      <c r="X487">
        <v>3.8177556178273918E-2</v>
      </c>
    </row>
    <row r="488" spans="1:24" x14ac:dyDescent="0.3">
      <c r="A488" t="s">
        <v>3307</v>
      </c>
      <c r="B488" t="s">
        <v>3308</v>
      </c>
      <c r="C488" s="1">
        <v>43506</v>
      </c>
      <c r="D488" s="1">
        <v>43510</v>
      </c>
      <c r="E488" t="s">
        <v>54</v>
      </c>
      <c r="F488" t="s">
        <v>3309</v>
      </c>
      <c r="G488" t="s">
        <v>3310</v>
      </c>
      <c r="H488" t="s">
        <v>95</v>
      </c>
      <c r="I488" t="s">
        <v>30</v>
      </c>
      <c r="J488" t="s">
        <v>3311</v>
      </c>
      <c r="K488" t="s">
        <v>45</v>
      </c>
      <c r="L488" t="s">
        <v>3312</v>
      </c>
      <c r="M488" t="s">
        <v>47</v>
      </c>
      <c r="N488" t="s">
        <v>1949</v>
      </c>
      <c r="O488" t="s">
        <v>36</v>
      </c>
      <c r="P488" t="s">
        <v>37</v>
      </c>
      <c r="Q488" t="s">
        <v>1950</v>
      </c>
      <c r="R488">
        <v>203.983</v>
      </c>
      <c r="S488">
        <v>2</v>
      </c>
      <c r="T488">
        <v>0.15</v>
      </c>
      <c r="U488">
        <v>16.7986</v>
      </c>
      <c r="V488">
        <v>187.18440000000001</v>
      </c>
      <c r="W488">
        <v>173.38554999999999</v>
      </c>
      <c r="X488">
        <v>1.0684651071349962E-2</v>
      </c>
    </row>
    <row r="489" spans="1:24" x14ac:dyDescent="0.3">
      <c r="A489" t="s">
        <v>3313</v>
      </c>
      <c r="B489" t="s">
        <v>3314</v>
      </c>
      <c r="C489" s="1">
        <v>43402</v>
      </c>
      <c r="D489" s="1">
        <v>43406</v>
      </c>
      <c r="E489" t="s">
        <v>54</v>
      </c>
      <c r="F489" t="s">
        <v>3315</v>
      </c>
      <c r="G489" t="s">
        <v>3316</v>
      </c>
      <c r="H489" t="s">
        <v>43</v>
      </c>
      <c r="I489" t="s">
        <v>30</v>
      </c>
      <c r="J489" t="s">
        <v>3317</v>
      </c>
      <c r="K489" t="s">
        <v>751</v>
      </c>
      <c r="L489" t="s">
        <v>3318</v>
      </c>
      <c r="M489" t="s">
        <v>147</v>
      </c>
      <c r="N489" t="s">
        <v>3319</v>
      </c>
      <c r="O489" t="s">
        <v>49</v>
      </c>
      <c r="P489" t="s">
        <v>111</v>
      </c>
      <c r="Q489" t="s">
        <v>3320</v>
      </c>
      <c r="R489">
        <v>40.74</v>
      </c>
      <c r="S489">
        <v>3</v>
      </c>
      <c r="T489">
        <v>0</v>
      </c>
      <c r="U489">
        <v>0.40739999999999998</v>
      </c>
      <c r="V489">
        <v>40.332599999999999</v>
      </c>
      <c r="W489">
        <v>40.74</v>
      </c>
      <c r="X489">
        <v>7.4381517680486758E-2</v>
      </c>
    </row>
    <row r="490" spans="1:24" x14ac:dyDescent="0.3">
      <c r="A490" t="s">
        <v>3321</v>
      </c>
      <c r="B490" t="s">
        <v>3322</v>
      </c>
      <c r="C490" s="1">
        <v>43723</v>
      </c>
      <c r="D490" s="1">
        <v>43725</v>
      </c>
      <c r="E490" t="s">
        <v>26</v>
      </c>
      <c r="F490" t="s">
        <v>3323</v>
      </c>
      <c r="G490" t="s">
        <v>3324</v>
      </c>
      <c r="H490" t="s">
        <v>29</v>
      </c>
      <c r="I490" t="s">
        <v>30</v>
      </c>
      <c r="J490" t="s">
        <v>3325</v>
      </c>
      <c r="K490" t="s">
        <v>1118</v>
      </c>
      <c r="L490" t="s">
        <v>3326</v>
      </c>
      <c r="M490" t="s">
        <v>147</v>
      </c>
      <c r="N490" t="s">
        <v>3327</v>
      </c>
      <c r="O490" t="s">
        <v>186</v>
      </c>
      <c r="P490" t="s">
        <v>187</v>
      </c>
      <c r="Q490" t="s">
        <v>3328</v>
      </c>
      <c r="R490">
        <v>39.99</v>
      </c>
      <c r="S490">
        <v>1</v>
      </c>
      <c r="T490">
        <v>0</v>
      </c>
      <c r="U490">
        <v>11.597099999999999</v>
      </c>
      <c r="V490">
        <v>28.392900000000004</v>
      </c>
      <c r="W490">
        <v>39.99</v>
      </c>
      <c r="X490">
        <v>3.5220072623789747E-2</v>
      </c>
    </row>
    <row r="491" spans="1:24" x14ac:dyDescent="0.3">
      <c r="A491" t="s">
        <v>3329</v>
      </c>
      <c r="B491" t="s">
        <v>3330</v>
      </c>
      <c r="C491" s="1">
        <v>42404</v>
      </c>
      <c r="D491" s="1">
        <v>42408</v>
      </c>
      <c r="E491" t="s">
        <v>54</v>
      </c>
      <c r="F491" t="s">
        <v>3331</v>
      </c>
      <c r="G491" t="s">
        <v>3332</v>
      </c>
      <c r="H491" t="s">
        <v>95</v>
      </c>
      <c r="I491" t="s">
        <v>30</v>
      </c>
      <c r="J491" t="s">
        <v>887</v>
      </c>
      <c r="K491" t="s">
        <v>45</v>
      </c>
      <c r="L491" t="s">
        <v>1446</v>
      </c>
      <c r="M491" t="s">
        <v>47</v>
      </c>
      <c r="N491" t="s">
        <v>3333</v>
      </c>
      <c r="O491" t="s">
        <v>49</v>
      </c>
      <c r="P491" t="s">
        <v>89</v>
      </c>
      <c r="Q491" t="s">
        <v>3334</v>
      </c>
      <c r="R491">
        <v>82.896000000000001</v>
      </c>
      <c r="S491">
        <v>3</v>
      </c>
      <c r="T491">
        <v>0.2</v>
      </c>
      <c r="U491">
        <v>29.0136</v>
      </c>
      <c r="V491">
        <v>53.882400000000004</v>
      </c>
      <c r="W491">
        <v>66.316800000000001</v>
      </c>
      <c r="X491">
        <v>5.567680726916395E-2</v>
      </c>
    </row>
    <row r="492" spans="1:24" x14ac:dyDescent="0.3">
      <c r="A492" t="s">
        <v>3335</v>
      </c>
      <c r="B492" t="s">
        <v>3336</v>
      </c>
      <c r="C492" s="1">
        <v>43268</v>
      </c>
      <c r="D492" s="1">
        <v>43273</v>
      </c>
      <c r="E492" t="s">
        <v>54</v>
      </c>
      <c r="F492" t="s">
        <v>3337</v>
      </c>
      <c r="G492" t="s">
        <v>3338</v>
      </c>
      <c r="H492" t="s">
        <v>29</v>
      </c>
      <c r="I492" t="s">
        <v>30</v>
      </c>
      <c r="J492" t="s">
        <v>887</v>
      </c>
      <c r="K492" t="s">
        <v>45</v>
      </c>
      <c r="L492" t="s">
        <v>1446</v>
      </c>
      <c r="M492" t="s">
        <v>47</v>
      </c>
      <c r="N492" t="s">
        <v>3339</v>
      </c>
      <c r="O492" t="s">
        <v>49</v>
      </c>
      <c r="P492" t="s">
        <v>79</v>
      </c>
      <c r="Q492" t="s">
        <v>3340</v>
      </c>
      <c r="R492">
        <v>111.96</v>
      </c>
      <c r="S492">
        <v>2</v>
      </c>
      <c r="T492">
        <v>0</v>
      </c>
      <c r="U492">
        <v>54.860399999999998</v>
      </c>
      <c r="V492">
        <v>57.099599999999995</v>
      </c>
      <c r="W492">
        <v>111.96</v>
      </c>
      <c r="X492">
        <v>3.5026515071909438E-2</v>
      </c>
    </row>
    <row r="493" spans="1:24" x14ac:dyDescent="0.3">
      <c r="A493" t="s">
        <v>3341</v>
      </c>
      <c r="B493" t="s">
        <v>3342</v>
      </c>
      <c r="C493" s="1">
        <v>43754</v>
      </c>
      <c r="D493" s="1">
        <v>43759</v>
      </c>
      <c r="E493" t="s">
        <v>54</v>
      </c>
      <c r="F493" t="s">
        <v>3343</v>
      </c>
      <c r="G493" t="s">
        <v>3344</v>
      </c>
      <c r="H493" t="s">
        <v>29</v>
      </c>
      <c r="I493" t="s">
        <v>30</v>
      </c>
      <c r="J493" t="s">
        <v>1715</v>
      </c>
      <c r="K493" t="s">
        <v>32</v>
      </c>
      <c r="L493" t="s">
        <v>1716</v>
      </c>
      <c r="M493" t="s">
        <v>34</v>
      </c>
      <c r="N493" t="s">
        <v>2321</v>
      </c>
      <c r="O493" t="s">
        <v>49</v>
      </c>
      <c r="P493" t="s">
        <v>89</v>
      </c>
      <c r="Q493" t="s">
        <v>2322</v>
      </c>
      <c r="R493">
        <v>124.75</v>
      </c>
      <c r="S493">
        <v>5</v>
      </c>
      <c r="T493">
        <v>0</v>
      </c>
      <c r="U493">
        <v>57.384999999999998</v>
      </c>
      <c r="V493">
        <v>67.365000000000009</v>
      </c>
      <c r="W493">
        <v>124.75</v>
      </c>
      <c r="X493">
        <v>7.4222519112298657E-2</v>
      </c>
    </row>
    <row r="494" spans="1:24" x14ac:dyDescent="0.3">
      <c r="A494" t="s">
        <v>3345</v>
      </c>
      <c r="B494" t="s">
        <v>3346</v>
      </c>
      <c r="C494" s="1">
        <v>43712</v>
      </c>
      <c r="D494" s="1">
        <v>43716</v>
      </c>
      <c r="E494" t="s">
        <v>54</v>
      </c>
      <c r="F494" t="s">
        <v>3347</v>
      </c>
      <c r="G494" t="s">
        <v>3348</v>
      </c>
      <c r="H494" t="s">
        <v>29</v>
      </c>
      <c r="I494" t="s">
        <v>30</v>
      </c>
      <c r="J494" t="s">
        <v>1065</v>
      </c>
      <c r="K494" t="s">
        <v>262</v>
      </c>
      <c r="L494" t="s">
        <v>3349</v>
      </c>
      <c r="M494" t="s">
        <v>147</v>
      </c>
      <c r="N494" t="s">
        <v>227</v>
      </c>
      <c r="O494" t="s">
        <v>186</v>
      </c>
      <c r="P494" t="s">
        <v>228</v>
      </c>
      <c r="Q494" t="s">
        <v>229</v>
      </c>
      <c r="R494">
        <v>91.96</v>
      </c>
      <c r="S494">
        <v>4</v>
      </c>
      <c r="T494">
        <v>0</v>
      </c>
      <c r="U494">
        <v>39.5428</v>
      </c>
      <c r="V494">
        <v>52.417199999999994</v>
      </c>
      <c r="W494">
        <v>91.96</v>
      </c>
      <c r="X494">
        <v>7.631082926978168E-2</v>
      </c>
    </row>
    <row r="495" spans="1:24" x14ac:dyDescent="0.3">
      <c r="A495" t="s">
        <v>3350</v>
      </c>
      <c r="B495" t="s">
        <v>3351</v>
      </c>
      <c r="C495" s="1">
        <v>43229</v>
      </c>
      <c r="D495" s="1">
        <v>43235</v>
      </c>
      <c r="E495" t="s">
        <v>54</v>
      </c>
      <c r="F495" t="s">
        <v>3352</v>
      </c>
      <c r="G495" t="s">
        <v>3353</v>
      </c>
      <c r="H495" t="s">
        <v>29</v>
      </c>
      <c r="I495" t="s">
        <v>30</v>
      </c>
      <c r="J495" t="s">
        <v>144</v>
      </c>
      <c r="K495" t="s">
        <v>145</v>
      </c>
      <c r="L495" t="s">
        <v>146</v>
      </c>
      <c r="M495" t="s">
        <v>147</v>
      </c>
      <c r="N495" t="s">
        <v>3354</v>
      </c>
      <c r="O495" t="s">
        <v>49</v>
      </c>
      <c r="P495" t="s">
        <v>195</v>
      </c>
      <c r="Q495" t="s">
        <v>645</v>
      </c>
      <c r="R495">
        <v>9.3439999999999994</v>
      </c>
      <c r="S495">
        <v>1</v>
      </c>
      <c r="T495">
        <v>0.2</v>
      </c>
      <c r="U495">
        <v>3.504</v>
      </c>
      <c r="V495">
        <v>5.84</v>
      </c>
      <c r="W495">
        <v>7.4752000000000001</v>
      </c>
      <c r="X495">
        <v>0.17123287671232876</v>
      </c>
    </row>
    <row r="496" spans="1:24" x14ac:dyDescent="0.3">
      <c r="A496" t="s">
        <v>3355</v>
      </c>
      <c r="B496" t="s">
        <v>3356</v>
      </c>
      <c r="C496" s="1">
        <v>43199</v>
      </c>
      <c r="D496" s="1">
        <v>43203</v>
      </c>
      <c r="E496" t="s">
        <v>54</v>
      </c>
      <c r="F496" t="s">
        <v>3357</v>
      </c>
      <c r="G496" t="s">
        <v>3358</v>
      </c>
      <c r="H496" t="s">
        <v>43</v>
      </c>
      <c r="I496" t="s">
        <v>30</v>
      </c>
      <c r="J496" t="s">
        <v>85</v>
      </c>
      <c r="K496" t="s">
        <v>86</v>
      </c>
      <c r="L496" t="s">
        <v>87</v>
      </c>
      <c r="M496" t="s">
        <v>47</v>
      </c>
      <c r="N496" t="s">
        <v>2339</v>
      </c>
      <c r="O496" t="s">
        <v>49</v>
      </c>
      <c r="P496" t="s">
        <v>89</v>
      </c>
      <c r="Q496" t="s">
        <v>2340</v>
      </c>
      <c r="R496">
        <v>35.351999999999997</v>
      </c>
      <c r="S496">
        <v>9</v>
      </c>
      <c r="T496">
        <v>0.2</v>
      </c>
      <c r="U496">
        <v>12.815099999999999</v>
      </c>
      <c r="V496">
        <v>22.536899999999996</v>
      </c>
      <c r="W496">
        <v>28.281599999999997</v>
      </c>
      <c r="X496">
        <v>0.39934507407851133</v>
      </c>
    </row>
    <row r="497" spans="1:24" x14ac:dyDescent="0.3">
      <c r="A497" t="s">
        <v>3359</v>
      </c>
      <c r="B497" t="s">
        <v>3360</v>
      </c>
      <c r="C497" s="1">
        <v>43646</v>
      </c>
      <c r="D497" s="1">
        <v>43646</v>
      </c>
      <c r="E497" t="s">
        <v>1152</v>
      </c>
      <c r="F497" t="s">
        <v>3361</v>
      </c>
      <c r="G497" t="s">
        <v>3362</v>
      </c>
      <c r="H497" t="s">
        <v>29</v>
      </c>
      <c r="I497" t="s">
        <v>30</v>
      </c>
      <c r="J497" t="s">
        <v>261</v>
      </c>
      <c r="K497" t="s">
        <v>262</v>
      </c>
      <c r="L497" t="s">
        <v>1788</v>
      </c>
      <c r="M497" t="s">
        <v>147</v>
      </c>
      <c r="N497" t="s">
        <v>60</v>
      </c>
      <c r="O497" t="s">
        <v>36</v>
      </c>
      <c r="P497" t="s">
        <v>61</v>
      </c>
      <c r="Q497" t="s">
        <v>62</v>
      </c>
      <c r="R497">
        <v>1044.6300000000001</v>
      </c>
      <c r="S497">
        <v>5</v>
      </c>
      <c r="T497">
        <v>0.4</v>
      </c>
      <c r="U497">
        <v>-295.9785</v>
      </c>
      <c r="V497">
        <v>1340.6085</v>
      </c>
      <c r="W497">
        <v>626.77800000000002</v>
      </c>
      <c r="X497">
        <v>3.7296496329838279E-3</v>
      </c>
    </row>
    <row r="498" spans="1:24" x14ac:dyDescent="0.3">
      <c r="A498" t="s">
        <v>3363</v>
      </c>
      <c r="B498" t="s">
        <v>3364</v>
      </c>
      <c r="C498" s="1">
        <v>43048</v>
      </c>
      <c r="D498" s="1">
        <v>43048</v>
      </c>
      <c r="E498" t="s">
        <v>1152</v>
      </c>
      <c r="F498" t="s">
        <v>3365</v>
      </c>
      <c r="G498" t="s">
        <v>3366</v>
      </c>
      <c r="H498" t="s">
        <v>29</v>
      </c>
      <c r="I498" t="s">
        <v>30</v>
      </c>
      <c r="J498" t="s">
        <v>144</v>
      </c>
      <c r="K498" t="s">
        <v>145</v>
      </c>
      <c r="L498" t="s">
        <v>634</v>
      </c>
      <c r="M498" t="s">
        <v>147</v>
      </c>
      <c r="N498" t="s">
        <v>3367</v>
      </c>
      <c r="O498" t="s">
        <v>49</v>
      </c>
      <c r="P498" t="s">
        <v>79</v>
      </c>
      <c r="Q498" t="s">
        <v>3368</v>
      </c>
      <c r="R498">
        <v>11.352</v>
      </c>
      <c r="S498">
        <v>3</v>
      </c>
      <c r="T498">
        <v>0.2</v>
      </c>
      <c r="U498">
        <v>4.1151</v>
      </c>
      <c r="V498">
        <v>7.2369000000000003</v>
      </c>
      <c r="W498">
        <v>9.0815999999999999</v>
      </c>
      <c r="X498">
        <v>0.41454213820834884</v>
      </c>
    </row>
    <row r="499" spans="1:24" x14ac:dyDescent="0.3">
      <c r="A499" t="s">
        <v>3369</v>
      </c>
      <c r="B499" t="s">
        <v>3370</v>
      </c>
      <c r="C499" s="1">
        <v>43068</v>
      </c>
      <c r="D499" s="1">
        <v>43069</v>
      </c>
      <c r="E499" t="s">
        <v>180</v>
      </c>
      <c r="F499" t="s">
        <v>3371</v>
      </c>
      <c r="G499" t="s">
        <v>3372</v>
      </c>
      <c r="H499" t="s">
        <v>29</v>
      </c>
      <c r="I499" t="s">
        <v>30</v>
      </c>
      <c r="J499" t="s">
        <v>3373</v>
      </c>
      <c r="K499" t="s">
        <v>97</v>
      </c>
      <c r="L499" t="s">
        <v>3374</v>
      </c>
      <c r="M499" t="s">
        <v>99</v>
      </c>
      <c r="N499" t="s">
        <v>3375</v>
      </c>
      <c r="O499" t="s">
        <v>186</v>
      </c>
      <c r="P499" t="s">
        <v>228</v>
      </c>
      <c r="Q499" t="s">
        <v>3376</v>
      </c>
      <c r="R499">
        <v>21.48</v>
      </c>
      <c r="S499">
        <v>3</v>
      </c>
      <c r="T499">
        <v>0.2</v>
      </c>
      <c r="U499">
        <v>-0.26850000000000002</v>
      </c>
      <c r="V499">
        <v>21.7485</v>
      </c>
      <c r="W499">
        <v>17.184000000000001</v>
      </c>
      <c r="X499">
        <v>0.13794054762397406</v>
      </c>
    </row>
    <row r="500" spans="1:24" x14ac:dyDescent="0.3">
      <c r="A500" t="s">
        <v>3377</v>
      </c>
      <c r="B500" t="s">
        <v>3378</v>
      </c>
      <c r="C500" s="1">
        <v>42719</v>
      </c>
      <c r="D500" s="1">
        <v>42722</v>
      </c>
      <c r="E500" t="s">
        <v>180</v>
      </c>
      <c r="F500" t="s">
        <v>3379</v>
      </c>
      <c r="G500" t="s">
        <v>3380</v>
      </c>
      <c r="H500" t="s">
        <v>29</v>
      </c>
      <c r="I500" t="s">
        <v>30</v>
      </c>
      <c r="J500" t="s">
        <v>3381</v>
      </c>
      <c r="K500" t="s">
        <v>97</v>
      </c>
      <c r="L500" t="s">
        <v>3382</v>
      </c>
      <c r="M500" t="s">
        <v>99</v>
      </c>
      <c r="N500" t="s">
        <v>3383</v>
      </c>
      <c r="O500" t="s">
        <v>186</v>
      </c>
      <c r="P500" t="s">
        <v>187</v>
      </c>
      <c r="Q500" t="s">
        <v>3384</v>
      </c>
      <c r="R500">
        <v>40.68</v>
      </c>
      <c r="S500">
        <v>3</v>
      </c>
      <c r="T500">
        <v>0.2</v>
      </c>
      <c r="U500">
        <v>-9.1530000000000005</v>
      </c>
      <c r="V500">
        <v>49.832999999999998</v>
      </c>
      <c r="W500">
        <v>32.544000000000004</v>
      </c>
      <c r="X500">
        <v>6.020107157907411E-2</v>
      </c>
    </row>
    <row r="501" spans="1:24" x14ac:dyDescent="0.3">
      <c r="A501" t="s">
        <v>3385</v>
      </c>
      <c r="B501" t="s">
        <v>3386</v>
      </c>
      <c r="C501" s="1">
        <v>43212</v>
      </c>
      <c r="D501" s="1">
        <v>43217</v>
      </c>
      <c r="E501" t="s">
        <v>54</v>
      </c>
      <c r="F501" t="s">
        <v>3387</v>
      </c>
      <c r="G501" t="s">
        <v>3388</v>
      </c>
      <c r="H501" t="s">
        <v>95</v>
      </c>
      <c r="I501" t="s">
        <v>30</v>
      </c>
      <c r="J501" t="s">
        <v>434</v>
      </c>
      <c r="K501" t="s">
        <v>202</v>
      </c>
      <c r="L501" t="s">
        <v>1887</v>
      </c>
      <c r="M501" t="s">
        <v>99</v>
      </c>
      <c r="N501" t="s">
        <v>3389</v>
      </c>
      <c r="O501" t="s">
        <v>49</v>
      </c>
      <c r="P501" t="s">
        <v>111</v>
      </c>
      <c r="Q501" t="s">
        <v>3390</v>
      </c>
      <c r="R501">
        <v>23.952000000000002</v>
      </c>
      <c r="S501">
        <v>2</v>
      </c>
      <c r="T501">
        <v>0.2</v>
      </c>
      <c r="U501">
        <v>2.3952</v>
      </c>
      <c r="V501">
        <v>21.556800000000003</v>
      </c>
      <c r="W501">
        <v>19.161600000000004</v>
      </c>
      <c r="X501">
        <v>9.2778148890373321E-2</v>
      </c>
    </row>
    <row r="502" spans="1:24" x14ac:dyDescent="0.3">
      <c r="A502" t="s">
        <v>3391</v>
      </c>
      <c r="B502" t="s">
        <v>3392</v>
      </c>
      <c r="C502" s="1">
        <v>43232</v>
      </c>
      <c r="D502" s="1">
        <v>43236</v>
      </c>
      <c r="E502" t="s">
        <v>54</v>
      </c>
      <c r="F502" t="s">
        <v>3393</v>
      </c>
      <c r="G502" t="s">
        <v>3394</v>
      </c>
      <c r="H502" t="s">
        <v>43</v>
      </c>
      <c r="I502" t="s">
        <v>30</v>
      </c>
      <c r="J502" t="s">
        <v>2537</v>
      </c>
      <c r="K502" t="s">
        <v>304</v>
      </c>
      <c r="L502" t="s">
        <v>2538</v>
      </c>
      <c r="M502" t="s">
        <v>34</v>
      </c>
      <c r="N502" t="s">
        <v>1515</v>
      </c>
      <c r="O502" t="s">
        <v>49</v>
      </c>
      <c r="P502" t="s">
        <v>129</v>
      </c>
      <c r="Q502" t="s">
        <v>1516</v>
      </c>
      <c r="R502">
        <v>10.96</v>
      </c>
      <c r="S502">
        <v>4</v>
      </c>
      <c r="T502">
        <v>0</v>
      </c>
      <c r="U502">
        <v>2.9592000000000001</v>
      </c>
      <c r="V502">
        <v>8.0008000000000017</v>
      </c>
      <c r="W502">
        <v>10.96</v>
      </c>
      <c r="X502">
        <v>0.49995000499949993</v>
      </c>
    </row>
    <row r="503" spans="1:24" x14ac:dyDescent="0.3">
      <c r="A503" t="s">
        <v>3395</v>
      </c>
      <c r="B503" t="s">
        <v>3396</v>
      </c>
      <c r="C503" s="1">
        <v>43205</v>
      </c>
      <c r="D503" s="1">
        <v>43209</v>
      </c>
      <c r="E503" t="s">
        <v>54</v>
      </c>
      <c r="F503" t="s">
        <v>3397</v>
      </c>
      <c r="G503" t="s">
        <v>3398</v>
      </c>
      <c r="H503" t="s">
        <v>43</v>
      </c>
      <c r="I503" t="s">
        <v>30</v>
      </c>
      <c r="J503" t="s">
        <v>3399</v>
      </c>
      <c r="K503" t="s">
        <v>97</v>
      </c>
      <c r="L503" t="s">
        <v>3400</v>
      </c>
      <c r="M503" t="s">
        <v>99</v>
      </c>
      <c r="N503" t="s">
        <v>3401</v>
      </c>
      <c r="O503" t="s">
        <v>49</v>
      </c>
      <c r="P503" t="s">
        <v>129</v>
      </c>
      <c r="Q503" t="s">
        <v>3402</v>
      </c>
      <c r="R503">
        <v>33.488</v>
      </c>
      <c r="S503">
        <v>7</v>
      </c>
      <c r="T503">
        <v>0.2</v>
      </c>
      <c r="U503">
        <v>5.8604000000000003</v>
      </c>
      <c r="V503">
        <v>27.627600000000001</v>
      </c>
      <c r="W503">
        <v>26.790400000000002</v>
      </c>
      <c r="X503">
        <v>0.25336981858720986</v>
      </c>
    </row>
    <row r="504" spans="1:24" x14ac:dyDescent="0.3">
      <c r="A504" t="s">
        <v>3403</v>
      </c>
      <c r="B504" t="s">
        <v>3404</v>
      </c>
      <c r="C504" s="1">
        <v>42909</v>
      </c>
      <c r="D504" s="1">
        <v>42911</v>
      </c>
      <c r="E504" t="s">
        <v>26</v>
      </c>
      <c r="F504" t="s">
        <v>3405</v>
      </c>
      <c r="G504" t="s">
        <v>3406</v>
      </c>
      <c r="H504" t="s">
        <v>29</v>
      </c>
      <c r="I504" t="s">
        <v>30</v>
      </c>
      <c r="J504" t="s">
        <v>3407</v>
      </c>
      <c r="K504" t="s">
        <v>86</v>
      </c>
      <c r="L504" t="s">
        <v>3408</v>
      </c>
      <c r="M504" t="s">
        <v>47</v>
      </c>
      <c r="N504" t="s">
        <v>3409</v>
      </c>
      <c r="O504" t="s">
        <v>186</v>
      </c>
      <c r="P504" t="s">
        <v>187</v>
      </c>
      <c r="Q504" t="s">
        <v>3410</v>
      </c>
      <c r="R504">
        <v>201.56800000000001</v>
      </c>
      <c r="S504">
        <v>4</v>
      </c>
      <c r="T504">
        <v>0.2</v>
      </c>
      <c r="U504">
        <v>22.676400000000001</v>
      </c>
      <c r="V504">
        <v>178.89160000000001</v>
      </c>
      <c r="W504">
        <v>161.25440000000003</v>
      </c>
      <c r="X504">
        <v>2.2359909576525672E-2</v>
      </c>
    </row>
    <row r="505" spans="1:24" x14ac:dyDescent="0.3">
      <c r="A505" t="s">
        <v>3411</v>
      </c>
      <c r="B505" t="s">
        <v>3412</v>
      </c>
      <c r="C505" s="1">
        <v>42818</v>
      </c>
      <c r="D505" s="1">
        <v>42821</v>
      </c>
      <c r="E505" t="s">
        <v>180</v>
      </c>
      <c r="F505" t="s">
        <v>3413</v>
      </c>
      <c r="G505" t="s">
        <v>3414</v>
      </c>
      <c r="H505" t="s">
        <v>95</v>
      </c>
      <c r="I505" t="s">
        <v>30</v>
      </c>
      <c r="J505" t="s">
        <v>1248</v>
      </c>
      <c r="K505" t="s">
        <v>202</v>
      </c>
      <c r="L505" t="s">
        <v>1249</v>
      </c>
      <c r="M505" t="s">
        <v>99</v>
      </c>
      <c r="N505" t="s">
        <v>3415</v>
      </c>
      <c r="O505" t="s">
        <v>36</v>
      </c>
      <c r="P505" t="s">
        <v>37</v>
      </c>
      <c r="Q505" t="s">
        <v>3416</v>
      </c>
      <c r="R505">
        <v>359.05799999999999</v>
      </c>
      <c r="S505">
        <v>3</v>
      </c>
      <c r="T505">
        <v>0.3</v>
      </c>
      <c r="U505">
        <v>-35.905799999999999</v>
      </c>
      <c r="V505">
        <v>394.96379999999999</v>
      </c>
      <c r="W505">
        <v>251.34059999999997</v>
      </c>
      <c r="X505">
        <v>7.595632814956713E-3</v>
      </c>
    </row>
    <row r="506" spans="1:24" x14ac:dyDescent="0.3">
      <c r="A506" t="s">
        <v>3417</v>
      </c>
      <c r="B506" t="s">
        <v>3418</v>
      </c>
      <c r="C506" s="1">
        <v>42516</v>
      </c>
      <c r="D506" s="1">
        <v>42520</v>
      </c>
      <c r="E506" t="s">
        <v>54</v>
      </c>
      <c r="F506" t="s">
        <v>3419</v>
      </c>
      <c r="G506" t="s">
        <v>3420</v>
      </c>
      <c r="H506" t="s">
        <v>43</v>
      </c>
      <c r="I506" t="s">
        <v>30</v>
      </c>
      <c r="J506" t="s">
        <v>44</v>
      </c>
      <c r="K506" t="s">
        <v>45</v>
      </c>
      <c r="L506" t="s">
        <v>1669</v>
      </c>
      <c r="M506" t="s">
        <v>47</v>
      </c>
      <c r="N506" t="s">
        <v>3415</v>
      </c>
      <c r="O506" t="s">
        <v>36</v>
      </c>
      <c r="P506" t="s">
        <v>37</v>
      </c>
      <c r="Q506" t="s">
        <v>3416</v>
      </c>
      <c r="R506">
        <v>290.666</v>
      </c>
      <c r="S506">
        <v>2</v>
      </c>
      <c r="T506">
        <v>0.15</v>
      </c>
      <c r="U506">
        <v>27.3568</v>
      </c>
      <c r="V506">
        <v>263.30919999999998</v>
      </c>
      <c r="W506">
        <v>247.06609999999998</v>
      </c>
      <c r="X506">
        <v>7.595632814956713E-3</v>
      </c>
    </row>
    <row r="507" spans="1:24" x14ac:dyDescent="0.3">
      <c r="A507" t="s">
        <v>3421</v>
      </c>
      <c r="B507" t="s">
        <v>3422</v>
      </c>
      <c r="C507" s="1">
        <v>43654</v>
      </c>
      <c r="D507" s="1">
        <v>43661</v>
      </c>
      <c r="E507" t="s">
        <v>54</v>
      </c>
      <c r="F507" t="s">
        <v>3423</v>
      </c>
      <c r="G507" t="s">
        <v>3424</v>
      </c>
      <c r="H507" t="s">
        <v>29</v>
      </c>
      <c r="I507" t="s">
        <v>30</v>
      </c>
      <c r="J507" t="s">
        <v>3425</v>
      </c>
      <c r="K507" t="s">
        <v>86</v>
      </c>
      <c r="L507" t="s">
        <v>3426</v>
      </c>
      <c r="M507" t="s">
        <v>47</v>
      </c>
      <c r="N507" t="s">
        <v>3427</v>
      </c>
      <c r="O507" t="s">
        <v>36</v>
      </c>
      <c r="P507" t="s">
        <v>69</v>
      </c>
      <c r="Q507" t="s">
        <v>3428</v>
      </c>
      <c r="R507">
        <v>198.46</v>
      </c>
      <c r="S507">
        <v>2</v>
      </c>
      <c r="T507">
        <v>0</v>
      </c>
      <c r="U507">
        <v>99.23</v>
      </c>
      <c r="V507">
        <v>99.23</v>
      </c>
      <c r="W507">
        <v>198.46</v>
      </c>
      <c r="X507">
        <v>2.0155195001511639E-2</v>
      </c>
    </row>
    <row r="508" spans="1:24" x14ac:dyDescent="0.3">
      <c r="A508" t="s">
        <v>3429</v>
      </c>
      <c r="B508" t="s">
        <v>3430</v>
      </c>
      <c r="C508" s="1">
        <v>43088</v>
      </c>
      <c r="D508" s="1">
        <v>43093</v>
      </c>
      <c r="E508" t="s">
        <v>54</v>
      </c>
      <c r="F508" t="s">
        <v>3431</v>
      </c>
      <c r="G508" t="s">
        <v>3432</v>
      </c>
      <c r="H508" t="s">
        <v>29</v>
      </c>
      <c r="I508" t="s">
        <v>30</v>
      </c>
      <c r="J508" t="s">
        <v>44</v>
      </c>
      <c r="K508" t="s">
        <v>45</v>
      </c>
      <c r="L508" t="s">
        <v>161</v>
      </c>
      <c r="M508" t="s">
        <v>47</v>
      </c>
      <c r="N508" t="s">
        <v>3145</v>
      </c>
      <c r="O508" t="s">
        <v>186</v>
      </c>
      <c r="P508" t="s">
        <v>187</v>
      </c>
      <c r="Q508" t="s">
        <v>3146</v>
      </c>
      <c r="R508">
        <v>675.96</v>
      </c>
      <c r="S508">
        <v>5</v>
      </c>
      <c r="T508">
        <v>0.2</v>
      </c>
      <c r="U508">
        <v>84.495000000000005</v>
      </c>
      <c r="V508">
        <v>591.46500000000003</v>
      </c>
      <c r="W508">
        <v>540.76800000000003</v>
      </c>
      <c r="X508">
        <v>8.4535855883272892E-3</v>
      </c>
    </row>
    <row r="509" spans="1:24" x14ac:dyDescent="0.3">
      <c r="A509" t="s">
        <v>3433</v>
      </c>
      <c r="B509" t="s">
        <v>3434</v>
      </c>
      <c r="C509" s="1">
        <v>43002</v>
      </c>
      <c r="D509" s="1">
        <v>43008</v>
      </c>
      <c r="E509" t="s">
        <v>54</v>
      </c>
      <c r="F509" t="s">
        <v>3435</v>
      </c>
      <c r="G509" t="s">
        <v>3436</v>
      </c>
      <c r="H509" t="s">
        <v>29</v>
      </c>
      <c r="I509" t="s">
        <v>30</v>
      </c>
      <c r="J509" t="s">
        <v>3437</v>
      </c>
      <c r="K509" t="s">
        <v>697</v>
      </c>
      <c r="L509" t="s">
        <v>3438</v>
      </c>
      <c r="M509" t="s">
        <v>34</v>
      </c>
      <c r="N509" t="s">
        <v>3439</v>
      </c>
      <c r="O509" t="s">
        <v>36</v>
      </c>
      <c r="P509" t="s">
        <v>149</v>
      </c>
      <c r="Q509" t="s">
        <v>3440</v>
      </c>
      <c r="R509">
        <v>517.5</v>
      </c>
      <c r="S509">
        <v>6</v>
      </c>
      <c r="T509">
        <v>0</v>
      </c>
      <c r="U509">
        <v>155.25</v>
      </c>
      <c r="V509">
        <v>362.25</v>
      </c>
      <c r="W509">
        <v>517.5</v>
      </c>
      <c r="X509">
        <v>1.6563146997929608E-2</v>
      </c>
    </row>
    <row r="510" spans="1:24" x14ac:dyDescent="0.3">
      <c r="A510" t="s">
        <v>3441</v>
      </c>
      <c r="B510" t="s">
        <v>3442</v>
      </c>
      <c r="C510" s="1">
        <v>42700</v>
      </c>
      <c r="D510" s="1">
        <v>42706</v>
      </c>
      <c r="E510" t="s">
        <v>54</v>
      </c>
      <c r="F510" t="s">
        <v>3443</v>
      </c>
      <c r="G510" t="s">
        <v>3444</v>
      </c>
      <c r="H510" t="s">
        <v>29</v>
      </c>
      <c r="I510" t="s">
        <v>30</v>
      </c>
      <c r="J510" t="s">
        <v>3445</v>
      </c>
      <c r="K510" t="s">
        <v>394</v>
      </c>
      <c r="L510" t="s">
        <v>3446</v>
      </c>
      <c r="M510" t="s">
        <v>47</v>
      </c>
      <c r="N510" t="s">
        <v>2589</v>
      </c>
      <c r="O510" t="s">
        <v>49</v>
      </c>
      <c r="P510" t="s">
        <v>79</v>
      </c>
      <c r="Q510" t="s">
        <v>2590</v>
      </c>
      <c r="R510">
        <v>15.552</v>
      </c>
      <c r="S510">
        <v>3</v>
      </c>
      <c r="T510">
        <v>0.2</v>
      </c>
      <c r="U510">
        <v>5.4432</v>
      </c>
      <c r="V510">
        <v>10.108799999999999</v>
      </c>
      <c r="W510">
        <v>12.441600000000001</v>
      </c>
      <c r="X510">
        <v>0.29677113010446349</v>
      </c>
    </row>
    <row r="511" spans="1:24" x14ac:dyDescent="0.3">
      <c r="A511" t="s">
        <v>3447</v>
      </c>
      <c r="B511" t="s">
        <v>3448</v>
      </c>
      <c r="C511" s="1">
        <v>43246</v>
      </c>
      <c r="D511" s="1">
        <v>43252</v>
      </c>
      <c r="E511" t="s">
        <v>54</v>
      </c>
      <c r="F511" t="s">
        <v>3449</v>
      </c>
      <c r="G511" t="s">
        <v>3450</v>
      </c>
      <c r="H511" t="s">
        <v>29</v>
      </c>
      <c r="I511" t="s">
        <v>30</v>
      </c>
      <c r="J511" t="s">
        <v>86</v>
      </c>
      <c r="K511" t="s">
        <v>3451</v>
      </c>
      <c r="L511" t="s">
        <v>3452</v>
      </c>
      <c r="M511" t="s">
        <v>147</v>
      </c>
      <c r="N511" t="s">
        <v>3453</v>
      </c>
      <c r="O511" t="s">
        <v>49</v>
      </c>
      <c r="P511" t="s">
        <v>79</v>
      </c>
      <c r="Q511" t="s">
        <v>3454</v>
      </c>
      <c r="R511">
        <v>19.440000000000001</v>
      </c>
      <c r="S511">
        <v>3</v>
      </c>
      <c r="T511">
        <v>0</v>
      </c>
      <c r="U511">
        <v>9.3312000000000008</v>
      </c>
      <c r="V511">
        <v>10.1088</v>
      </c>
      <c r="W511">
        <v>19.440000000000001</v>
      </c>
      <c r="X511">
        <v>0.29677113010446343</v>
      </c>
    </row>
    <row r="512" spans="1:24" x14ac:dyDescent="0.3">
      <c r="A512" t="s">
        <v>3455</v>
      </c>
      <c r="B512" t="s">
        <v>3456</v>
      </c>
      <c r="C512" s="1">
        <v>42703</v>
      </c>
      <c r="D512" s="1">
        <v>42708</v>
      </c>
      <c r="E512" t="s">
        <v>54</v>
      </c>
      <c r="F512" t="s">
        <v>3457</v>
      </c>
      <c r="G512" t="s">
        <v>3458</v>
      </c>
      <c r="H512" t="s">
        <v>43</v>
      </c>
      <c r="I512" t="s">
        <v>30</v>
      </c>
      <c r="J512" t="s">
        <v>3459</v>
      </c>
      <c r="K512" t="s">
        <v>202</v>
      </c>
      <c r="L512" t="s">
        <v>3460</v>
      </c>
      <c r="M512" t="s">
        <v>99</v>
      </c>
      <c r="N512" t="s">
        <v>3461</v>
      </c>
      <c r="O512" t="s">
        <v>49</v>
      </c>
      <c r="P512" t="s">
        <v>265</v>
      </c>
      <c r="Q512" t="s">
        <v>1545</v>
      </c>
      <c r="R512">
        <v>12.624000000000001</v>
      </c>
      <c r="S512">
        <v>2</v>
      </c>
      <c r="T512">
        <v>0.2</v>
      </c>
      <c r="U512">
        <v>3.9449999999999998</v>
      </c>
      <c r="V512">
        <v>8.6790000000000003</v>
      </c>
      <c r="W512">
        <v>10.099200000000002</v>
      </c>
      <c r="X512">
        <v>0.23044129508007835</v>
      </c>
    </row>
    <row r="513" spans="1:24" x14ac:dyDescent="0.3">
      <c r="A513" t="s">
        <v>3462</v>
      </c>
      <c r="B513" t="s">
        <v>3463</v>
      </c>
      <c r="C513" s="1">
        <v>42611</v>
      </c>
      <c r="D513" s="1">
        <v>42611</v>
      </c>
      <c r="E513" t="s">
        <v>1152</v>
      </c>
      <c r="F513" t="s">
        <v>3464</v>
      </c>
      <c r="G513" t="s">
        <v>3465</v>
      </c>
      <c r="H513" t="s">
        <v>43</v>
      </c>
      <c r="I513" t="s">
        <v>30</v>
      </c>
      <c r="J513" t="s">
        <v>126</v>
      </c>
      <c r="K513" t="s">
        <v>45</v>
      </c>
      <c r="L513" t="s">
        <v>957</v>
      </c>
      <c r="M513" t="s">
        <v>47</v>
      </c>
      <c r="N513" t="s">
        <v>3466</v>
      </c>
      <c r="O513" t="s">
        <v>49</v>
      </c>
      <c r="P513" t="s">
        <v>79</v>
      </c>
      <c r="Q513" t="s">
        <v>3467</v>
      </c>
      <c r="R513">
        <v>109.92</v>
      </c>
      <c r="S513">
        <v>2</v>
      </c>
      <c r="T513">
        <v>0</v>
      </c>
      <c r="U513">
        <v>53.860799999999998</v>
      </c>
      <c r="V513">
        <v>56.059200000000004</v>
      </c>
      <c r="W513">
        <v>109.92</v>
      </c>
      <c r="X513">
        <v>3.567657048263264E-2</v>
      </c>
    </row>
    <row r="514" spans="1:24" x14ac:dyDescent="0.3">
      <c r="A514" t="s">
        <v>3468</v>
      </c>
      <c r="B514" t="s">
        <v>3469</v>
      </c>
      <c r="C514" s="1">
        <v>43787</v>
      </c>
      <c r="D514" s="1">
        <v>43790</v>
      </c>
      <c r="E514" t="s">
        <v>180</v>
      </c>
      <c r="F514" t="s">
        <v>3470</v>
      </c>
      <c r="G514" t="s">
        <v>3471</v>
      </c>
      <c r="H514" t="s">
        <v>29</v>
      </c>
      <c r="I514" t="s">
        <v>30</v>
      </c>
      <c r="J514" t="s">
        <v>85</v>
      </c>
      <c r="K514" t="s">
        <v>86</v>
      </c>
      <c r="L514" t="s">
        <v>606</v>
      </c>
      <c r="M514" t="s">
        <v>47</v>
      </c>
      <c r="N514" t="s">
        <v>373</v>
      </c>
      <c r="O514" t="s">
        <v>49</v>
      </c>
      <c r="P514" t="s">
        <v>111</v>
      </c>
      <c r="Q514" t="s">
        <v>374</v>
      </c>
      <c r="R514">
        <v>169.68</v>
      </c>
      <c r="S514">
        <v>6</v>
      </c>
      <c r="T514">
        <v>0</v>
      </c>
      <c r="U514">
        <v>45.813600000000001</v>
      </c>
      <c r="V514">
        <v>123.8664</v>
      </c>
      <c r="W514">
        <v>169.68</v>
      </c>
      <c r="X514">
        <v>4.8439286198678579E-2</v>
      </c>
    </row>
    <row r="515" spans="1:24" x14ac:dyDescent="0.3">
      <c r="A515" t="s">
        <v>3472</v>
      </c>
      <c r="B515" t="s">
        <v>3473</v>
      </c>
      <c r="C515" s="1">
        <v>43485</v>
      </c>
      <c r="D515" s="1">
        <v>43491</v>
      </c>
      <c r="E515" t="s">
        <v>54</v>
      </c>
      <c r="F515" t="s">
        <v>3474</v>
      </c>
      <c r="G515" t="s">
        <v>3475</v>
      </c>
      <c r="H515" t="s">
        <v>29</v>
      </c>
      <c r="I515" t="s">
        <v>30</v>
      </c>
      <c r="J515" t="s">
        <v>44</v>
      </c>
      <c r="K515" t="s">
        <v>45</v>
      </c>
      <c r="L515" t="s">
        <v>627</v>
      </c>
      <c r="M515" t="s">
        <v>47</v>
      </c>
      <c r="N515" t="s">
        <v>3476</v>
      </c>
      <c r="O515" t="s">
        <v>186</v>
      </c>
      <c r="P515" t="s">
        <v>187</v>
      </c>
      <c r="Q515" t="s">
        <v>3477</v>
      </c>
      <c r="R515">
        <v>160.77600000000001</v>
      </c>
      <c r="S515">
        <v>3</v>
      </c>
      <c r="T515">
        <v>0.2</v>
      </c>
      <c r="U515">
        <v>10.048500000000001</v>
      </c>
      <c r="V515">
        <v>150.72750000000002</v>
      </c>
      <c r="W515">
        <v>128.6208</v>
      </c>
      <c r="X515">
        <v>1.9903468179330246E-2</v>
      </c>
    </row>
    <row r="516" spans="1:24" x14ac:dyDescent="0.3">
      <c r="A516" t="s">
        <v>3478</v>
      </c>
      <c r="B516" t="s">
        <v>3479</v>
      </c>
      <c r="C516" s="1">
        <v>43768</v>
      </c>
      <c r="D516" s="1">
        <v>43775</v>
      </c>
      <c r="E516" t="s">
        <v>54</v>
      </c>
      <c r="F516" t="s">
        <v>3480</v>
      </c>
      <c r="G516" t="s">
        <v>3481</v>
      </c>
      <c r="H516" t="s">
        <v>29</v>
      </c>
      <c r="I516" t="s">
        <v>30</v>
      </c>
      <c r="J516" t="s">
        <v>85</v>
      </c>
      <c r="K516" t="s">
        <v>86</v>
      </c>
      <c r="L516" t="s">
        <v>613</v>
      </c>
      <c r="M516" t="s">
        <v>47</v>
      </c>
      <c r="N516" t="s">
        <v>3482</v>
      </c>
      <c r="O516" t="s">
        <v>49</v>
      </c>
      <c r="P516" t="s">
        <v>89</v>
      </c>
      <c r="Q516" t="s">
        <v>3483</v>
      </c>
      <c r="R516">
        <v>88.751999999999995</v>
      </c>
      <c r="S516">
        <v>3</v>
      </c>
      <c r="T516">
        <v>0.2</v>
      </c>
      <c r="U516">
        <v>27.734999999999999</v>
      </c>
      <c r="V516">
        <v>61.016999999999996</v>
      </c>
      <c r="W516">
        <v>71.001599999999996</v>
      </c>
      <c r="X516">
        <v>4.9166625694478591E-2</v>
      </c>
    </row>
    <row r="517" spans="1:24" x14ac:dyDescent="0.3">
      <c r="A517" t="s">
        <v>3484</v>
      </c>
      <c r="B517" t="s">
        <v>3485</v>
      </c>
      <c r="C517" s="1">
        <v>43428</v>
      </c>
      <c r="D517" s="1">
        <v>43430</v>
      </c>
      <c r="E517" t="s">
        <v>26</v>
      </c>
      <c r="F517" t="s">
        <v>3486</v>
      </c>
      <c r="G517" t="s">
        <v>3487</v>
      </c>
      <c r="H517" t="s">
        <v>29</v>
      </c>
      <c r="I517" t="s">
        <v>30</v>
      </c>
      <c r="J517" t="s">
        <v>782</v>
      </c>
      <c r="K517" t="s">
        <v>97</v>
      </c>
      <c r="L517" t="s">
        <v>1769</v>
      </c>
      <c r="M517" t="s">
        <v>99</v>
      </c>
      <c r="N517" t="s">
        <v>1586</v>
      </c>
      <c r="O517" t="s">
        <v>49</v>
      </c>
      <c r="P517" t="s">
        <v>111</v>
      </c>
      <c r="Q517" t="s">
        <v>1587</v>
      </c>
      <c r="R517">
        <v>41.92</v>
      </c>
      <c r="S517">
        <v>5</v>
      </c>
      <c r="T517">
        <v>0.2</v>
      </c>
      <c r="U517">
        <v>3.6680000000000001</v>
      </c>
      <c r="V517">
        <v>38.252000000000002</v>
      </c>
      <c r="W517">
        <v>33.536000000000001</v>
      </c>
      <c r="X517">
        <v>0.13071211962773188</v>
      </c>
    </row>
    <row r="518" spans="1:24" x14ac:dyDescent="0.3">
      <c r="A518" t="s">
        <v>3488</v>
      </c>
      <c r="B518" t="s">
        <v>3489</v>
      </c>
      <c r="C518" s="1">
        <v>43181</v>
      </c>
      <c r="D518" s="1">
        <v>43184</v>
      </c>
      <c r="E518" t="s">
        <v>180</v>
      </c>
      <c r="F518" t="s">
        <v>3490</v>
      </c>
      <c r="G518" t="s">
        <v>3491</v>
      </c>
      <c r="H518" t="s">
        <v>43</v>
      </c>
      <c r="I518" t="s">
        <v>30</v>
      </c>
      <c r="J518" t="s">
        <v>3492</v>
      </c>
      <c r="K518" t="s">
        <v>1257</v>
      </c>
      <c r="L518" t="s">
        <v>3493</v>
      </c>
      <c r="M518" t="s">
        <v>47</v>
      </c>
      <c r="N518" t="s">
        <v>3494</v>
      </c>
      <c r="O518" t="s">
        <v>186</v>
      </c>
      <c r="P518" t="s">
        <v>228</v>
      </c>
      <c r="Q518" t="s">
        <v>3495</v>
      </c>
      <c r="R518">
        <v>58.58</v>
      </c>
      <c r="S518">
        <v>2</v>
      </c>
      <c r="T518">
        <v>0</v>
      </c>
      <c r="U518">
        <v>19.331399999999999</v>
      </c>
      <c r="V518">
        <v>39.248599999999996</v>
      </c>
      <c r="W518">
        <v>58.58</v>
      </c>
      <c r="X518">
        <v>5.095723159552188E-2</v>
      </c>
    </row>
    <row r="519" spans="1:24" x14ac:dyDescent="0.3">
      <c r="A519" t="s">
        <v>3496</v>
      </c>
      <c r="B519" t="s">
        <v>3497</v>
      </c>
      <c r="C519" s="1">
        <v>43080</v>
      </c>
      <c r="D519" s="1">
        <v>43081</v>
      </c>
      <c r="E519" t="s">
        <v>180</v>
      </c>
      <c r="F519" t="s">
        <v>3498</v>
      </c>
      <c r="G519" t="s">
        <v>3499</v>
      </c>
      <c r="H519" t="s">
        <v>29</v>
      </c>
      <c r="I519" t="s">
        <v>30</v>
      </c>
      <c r="J519" t="s">
        <v>3500</v>
      </c>
      <c r="K519" t="s">
        <v>304</v>
      </c>
      <c r="L519" t="s">
        <v>3501</v>
      </c>
      <c r="M519" t="s">
        <v>34</v>
      </c>
      <c r="N519" t="s">
        <v>3502</v>
      </c>
      <c r="O519" t="s">
        <v>49</v>
      </c>
      <c r="P519" t="s">
        <v>50</v>
      </c>
      <c r="Q519" t="s">
        <v>3503</v>
      </c>
      <c r="R519">
        <v>196.62</v>
      </c>
      <c r="S519">
        <v>2</v>
      </c>
      <c r="T519">
        <v>0</v>
      </c>
      <c r="U519">
        <v>96.343800000000002</v>
      </c>
      <c r="V519">
        <v>100.2762</v>
      </c>
      <c r="W519">
        <v>196.62</v>
      </c>
      <c r="X519">
        <v>1.9944912152634425E-2</v>
      </c>
    </row>
    <row r="520" spans="1:24" x14ac:dyDescent="0.3">
      <c r="A520" t="s">
        <v>3504</v>
      </c>
      <c r="B520" t="s">
        <v>3505</v>
      </c>
      <c r="C520" s="1">
        <v>43238</v>
      </c>
      <c r="D520" s="1">
        <v>43244</v>
      </c>
      <c r="E520" t="s">
        <v>54</v>
      </c>
      <c r="F520" t="s">
        <v>3506</v>
      </c>
      <c r="G520" t="s">
        <v>3507</v>
      </c>
      <c r="H520" t="s">
        <v>29</v>
      </c>
      <c r="I520" t="s">
        <v>30</v>
      </c>
      <c r="J520" t="s">
        <v>126</v>
      </c>
      <c r="K520" t="s">
        <v>45</v>
      </c>
      <c r="L520" t="s">
        <v>957</v>
      </c>
      <c r="M520" t="s">
        <v>47</v>
      </c>
      <c r="N520" t="s">
        <v>273</v>
      </c>
      <c r="O520" t="s">
        <v>49</v>
      </c>
      <c r="P520" t="s">
        <v>111</v>
      </c>
      <c r="Q520" t="s">
        <v>274</v>
      </c>
      <c r="R520">
        <v>104.28</v>
      </c>
      <c r="S520">
        <v>3</v>
      </c>
      <c r="T520">
        <v>0</v>
      </c>
      <c r="U520">
        <v>26.07</v>
      </c>
      <c r="V520">
        <v>78.210000000000008</v>
      </c>
      <c r="W520">
        <v>104.28</v>
      </c>
      <c r="X520">
        <v>3.8358266206367467E-2</v>
      </c>
    </row>
    <row r="521" spans="1:24" x14ac:dyDescent="0.3">
      <c r="A521" t="s">
        <v>3508</v>
      </c>
      <c r="B521" t="s">
        <v>3509</v>
      </c>
      <c r="C521" s="1">
        <v>43372</v>
      </c>
      <c r="D521" s="1">
        <v>43374</v>
      </c>
      <c r="E521" t="s">
        <v>26</v>
      </c>
      <c r="F521" t="s">
        <v>3510</v>
      </c>
      <c r="G521" t="s">
        <v>3511</v>
      </c>
      <c r="H521" t="s">
        <v>29</v>
      </c>
      <c r="I521" t="s">
        <v>30</v>
      </c>
      <c r="J521" t="s">
        <v>44</v>
      </c>
      <c r="K521" t="s">
        <v>45</v>
      </c>
      <c r="L521" t="s">
        <v>1669</v>
      </c>
      <c r="M521" t="s">
        <v>47</v>
      </c>
      <c r="N521" t="s">
        <v>3512</v>
      </c>
      <c r="O521" t="s">
        <v>49</v>
      </c>
      <c r="P521" t="s">
        <v>79</v>
      </c>
      <c r="Q521" t="s">
        <v>3513</v>
      </c>
      <c r="R521">
        <v>18.97</v>
      </c>
      <c r="S521">
        <v>1</v>
      </c>
      <c r="T521">
        <v>0</v>
      </c>
      <c r="U521">
        <v>9.1056000000000008</v>
      </c>
      <c r="V521">
        <v>9.8643999999999981</v>
      </c>
      <c r="W521">
        <v>18.97</v>
      </c>
      <c r="X521">
        <v>0.10137464012002759</v>
      </c>
    </row>
    <row r="522" spans="1:24" x14ac:dyDescent="0.3">
      <c r="A522" t="s">
        <v>3514</v>
      </c>
      <c r="B522" t="s">
        <v>3515</v>
      </c>
      <c r="C522" s="1">
        <v>43808</v>
      </c>
      <c r="D522" s="1">
        <v>43814</v>
      </c>
      <c r="E522" t="s">
        <v>54</v>
      </c>
      <c r="F522" t="s">
        <v>3516</v>
      </c>
      <c r="G522" t="s">
        <v>3517</v>
      </c>
      <c r="H522" t="s">
        <v>29</v>
      </c>
      <c r="I522" t="s">
        <v>30</v>
      </c>
      <c r="J522" t="s">
        <v>3518</v>
      </c>
      <c r="K522" t="s">
        <v>253</v>
      </c>
      <c r="L522" t="s">
        <v>3519</v>
      </c>
      <c r="M522" t="s">
        <v>99</v>
      </c>
      <c r="N522" t="s">
        <v>3520</v>
      </c>
      <c r="O522" t="s">
        <v>49</v>
      </c>
      <c r="P522" t="s">
        <v>79</v>
      </c>
      <c r="Q522" t="s">
        <v>3521</v>
      </c>
      <c r="R522">
        <v>33.450000000000003</v>
      </c>
      <c r="S522">
        <v>5</v>
      </c>
      <c r="T522">
        <v>0</v>
      </c>
      <c r="U522">
        <v>15.387</v>
      </c>
      <c r="V522">
        <v>18.063000000000002</v>
      </c>
      <c r="W522">
        <v>33.450000000000003</v>
      </c>
      <c r="X522">
        <v>0.2768089464651497</v>
      </c>
    </row>
    <row r="523" spans="1:24" x14ac:dyDescent="0.3">
      <c r="A523" t="s">
        <v>3522</v>
      </c>
      <c r="B523" t="s">
        <v>3523</v>
      </c>
      <c r="C523" s="1">
        <v>43173</v>
      </c>
      <c r="D523" s="1">
        <v>43178</v>
      </c>
      <c r="E523" t="s">
        <v>54</v>
      </c>
      <c r="F523" t="s">
        <v>3524</v>
      </c>
      <c r="G523" t="s">
        <v>3525</v>
      </c>
      <c r="H523" t="s">
        <v>29</v>
      </c>
      <c r="I523" t="s">
        <v>30</v>
      </c>
      <c r="J523" t="s">
        <v>475</v>
      </c>
      <c r="K523" t="s">
        <v>476</v>
      </c>
      <c r="L523" t="s">
        <v>477</v>
      </c>
      <c r="M523" t="s">
        <v>147</v>
      </c>
      <c r="N523" t="s">
        <v>3526</v>
      </c>
      <c r="O523" t="s">
        <v>36</v>
      </c>
      <c r="P523" t="s">
        <v>69</v>
      </c>
      <c r="Q523" t="s">
        <v>3527</v>
      </c>
      <c r="R523">
        <v>21.88</v>
      </c>
      <c r="S523">
        <v>5</v>
      </c>
      <c r="T523">
        <v>0.2</v>
      </c>
      <c r="U523">
        <v>6.2904999999999998</v>
      </c>
      <c r="V523">
        <v>15.589499999999999</v>
      </c>
      <c r="W523">
        <v>17.504000000000001</v>
      </c>
      <c r="X523">
        <v>0.32072869559639505</v>
      </c>
    </row>
    <row r="524" spans="1:24" x14ac:dyDescent="0.3">
      <c r="A524" t="s">
        <v>3528</v>
      </c>
      <c r="B524" t="s">
        <v>3529</v>
      </c>
      <c r="C524" s="1">
        <v>42402</v>
      </c>
      <c r="D524" s="1">
        <v>42406</v>
      </c>
      <c r="E524" t="s">
        <v>54</v>
      </c>
      <c r="F524" t="s">
        <v>3530</v>
      </c>
      <c r="G524" t="s">
        <v>3531</v>
      </c>
      <c r="H524" t="s">
        <v>95</v>
      </c>
      <c r="I524" t="s">
        <v>30</v>
      </c>
      <c r="J524" t="s">
        <v>887</v>
      </c>
      <c r="K524" t="s">
        <v>45</v>
      </c>
      <c r="L524" t="s">
        <v>888</v>
      </c>
      <c r="M524" t="s">
        <v>47</v>
      </c>
      <c r="N524" t="s">
        <v>3532</v>
      </c>
      <c r="O524" t="s">
        <v>49</v>
      </c>
      <c r="P524" t="s">
        <v>265</v>
      </c>
      <c r="Q524" t="s">
        <v>1545</v>
      </c>
      <c r="R524">
        <v>12.35</v>
      </c>
      <c r="S524">
        <v>5</v>
      </c>
      <c r="T524">
        <v>0</v>
      </c>
      <c r="U524">
        <v>5.8045</v>
      </c>
      <c r="V524">
        <v>6.5454999999999997</v>
      </c>
      <c r="W524">
        <v>12.35</v>
      </c>
      <c r="X524">
        <v>0.76388358414177682</v>
      </c>
    </row>
    <row r="525" spans="1:24" x14ac:dyDescent="0.3">
      <c r="A525" t="s">
        <v>3533</v>
      </c>
      <c r="B525" t="s">
        <v>3534</v>
      </c>
      <c r="C525" s="1">
        <v>43768</v>
      </c>
      <c r="D525" s="1">
        <v>43774</v>
      </c>
      <c r="E525" t="s">
        <v>54</v>
      </c>
      <c r="F525" t="s">
        <v>3535</v>
      </c>
      <c r="G525" t="s">
        <v>3536</v>
      </c>
      <c r="H525" t="s">
        <v>29</v>
      </c>
      <c r="I525" t="s">
        <v>30</v>
      </c>
      <c r="J525" t="s">
        <v>126</v>
      </c>
      <c r="K525" t="s">
        <v>45</v>
      </c>
      <c r="L525" t="s">
        <v>343</v>
      </c>
      <c r="M525" t="s">
        <v>47</v>
      </c>
      <c r="N525" t="s">
        <v>3537</v>
      </c>
      <c r="O525" t="s">
        <v>49</v>
      </c>
      <c r="P525" t="s">
        <v>50</v>
      </c>
      <c r="Q525" t="s">
        <v>3538</v>
      </c>
      <c r="R525">
        <v>43.86</v>
      </c>
      <c r="S525">
        <v>6</v>
      </c>
      <c r="T525">
        <v>0</v>
      </c>
      <c r="U525">
        <v>20.6142</v>
      </c>
      <c r="V525">
        <v>23.245799999999999</v>
      </c>
      <c r="W525">
        <v>43.86</v>
      </c>
      <c r="X525">
        <v>0.25811114265802854</v>
      </c>
    </row>
    <row r="526" spans="1:24" x14ac:dyDescent="0.3">
      <c r="A526" t="s">
        <v>3539</v>
      </c>
      <c r="B526" t="s">
        <v>3540</v>
      </c>
      <c r="C526" s="1">
        <v>43584</v>
      </c>
      <c r="D526" s="1">
        <v>43589</v>
      </c>
      <c r="E526" t="s">
        <v>26</v>
      </c>
      <c r="F526" t="s">
        <v>3541</v>
      </c>
      <c r="G526" t="s">
        <v>3542</v>
      </c>
      <c r="H526" t="s">
        <v>43</v>
      </c>
      <c r="I526" t="s">
        <v>30</v>
      </c>
      <c r="J526" t="s">
        <v>831</v>
      </c>
      <c r="K526" t="s">
        <v>476</v>
      </c>
      <c r="L526" t="s">
        <v>832</v>
      </c>
      <c r="M526" t="s">
        <v>147</v>
      </c>
      <c r="N526" t="s">
        <v>3543</v>
      </c>
      <c r="O526" t="s">
        <v>36</v>
      </c>
      <c r="P526" t="s">
        <v>61</v>
      </c>
      <c r="Q526" t="s">
        <v>3544</v>
      </c>
      <c r="R526">
        <v>1048.3499999999999</v>
      </c>
      <c r="S526">
        <v>5</v>
      </c>
      <c r="T526">
        <v>0.4</v>
      </c>
      <c r="U526">
        <v>-69.89</v>
      </c>
      <c r="V526">
        <v>1118.24</v>
      </c>
      <c r="W526">
        <v>629.00999999999988</v>
      </c>
      <c r="X526">
        <v>4.4713120618114178E-3</v>
      </c>
    </row>
    <row r="527" spans="1:24" x14ac:dyDescent="0.3">
      <c r="A527" t="s">
        <v>3545</v>
      </c>
      <c r="B527" t="s">
        <v>3546</v>
      </c>
      <c r="C527" s="1">
        <v>42591</v>
      </c>
      <c r="D527" s="1">
        <v>42598</v>
      </c>
      <c r="E527" t="s">
        <v>54</v>
      </c>
      <c r="F527" t="s">
        <v>3547</v>
      </c>
      <c r="G527" t="s">
        <v>3548</v>
      </c>
      <c r="H527" t="s">
        <v>95</v>
      </c>
      <c r="I527" t="s">
        <v>30</v>
      </c>
      <c r="J527" t="s">
        <v>887</v>
      </c>
      <c r="K527" t="s">
        <v>45</v>
      </c>
      <c r="L527" t="s">
        <v>888</v>
      </c>
      <c r="M527" t="s">
        <v>47</v>
      </c>
      <c r="N527" t="s">
        <v>3549</v>
      </c>
      <c r="O527" t="s">
        <v>49</v>
      </c>
      <c r="P527" t="s">
        <v>50</v>
      </c>
      <c r="Q527" t="s">
        <v>3550</v>
      </c>
      <c r="R527">
        <v>20.88</v>
      </c>
      <c r="S527">
        <v>8</v>
      </c>
      <c r="T527">
        <v>0</v>
      </c>
      <c r="U527">
        <v>9.6047999999999991</v>
      </c>
      <c r="V527">
        <v>11.2752</v>
      </c>
      <c r="W527">
        <v>20.88</v>
      </c>
      <c r="X527">
        <v>0.70952178231871721</v>
      </c>
    </row>
    <row r="528" spans="1:24" x14ac:dyDescent="0.3">
      <c r="A528" t="s">
        <v>3551</v>
      </c>
      <c r="B528" t="s">
        <v>3552</v>
      </c>
      <c r="C528" s="1">
        <v>42485</v>
      </c>
      <c r="D528" s="1">
        <v>42489</v>
      </c>
      <c r="E528" t="s">
        <v>54</v>
      </c>
      <c r="F528" t="s">
        <v>3553</v>
      </c>
      <c r="G528" t="s">
        <v>3554</v>
      </c>
      <c r="H528" t="s">
        <v>95</v>
      </c>
      <c r="I528" t="s">
        <v>30</v>
      </c>
      <c r="J528" t="s">
        <v>174</v>
      </c>
      <c r="K528" t="s">
        <v>97</v>
      </c>
      <c r="L528" t="s">
        <v>175</v>
      </c>
      <c r="M528" t="s">
        <v>99</v>
      </c>
      <c r="N528" t="s">
        <v>2425</v>
      </c>
      <c r="O528" t="s">
        <v>49</v>
      </c>
      <c r="P528" t="s">
        <v>79</v>
      </c>
      <c r="Q528" t="s">
        <v>2426</v>
      </c>
      <c r="R528">
        <v>10.368</v>
      </c>
      <c r="S528">
        <v>2</v>
      </c>
      <c r="T528">
        <v>0.2</v>
      </c>
      <c r="U528">
        <v>3.6288</v>
      </c>
      <c r="V528">
        <v>6.7392000000000003</v>
      </c>
      <c r="W528">
        <v>8.2944000000000013</v>
      </c>
      <c r="X528">
        <v>0.29677113010446343</v>
      </c>
    </row>
    <row r="529" spans="1:24" x14ac:dyDescent="0.3">
      <c r="A529" t="s">
        <v>3555</v>
      </c>
      <c r="B529" t="s">
        <v>3556</v>
      </c>
      <c r="C529" s="1">
        <v>43752</v>
      </c>
      <c r="D529" s="1">
        <v>43755</v>
      </c>
      <c r="E529" t="s">
        <v>180</v>
      </c>
      <c r="F529" t="s">
        <v>3557</v>
      </c>
      <c r="G529" t="s">
        <v>3558</v>
      </c>
      <c r="H529" t="s">
        <v>29</v>
      </c>
      <c r="I529" t="s">
        <v>30</v>
      </c>
      <c r="J529" t="s">
        <v>2711</v>
      </c>
      <c r="K529" t="s">
        <v>45</v>
      </c>
      <c r="L529" t="s">
        <v>2712</v>
      </c>
      <c r="M529" t="s">
        <v>47</v>
      </c>
      <c r="N529" t="s">
        <v>1030</v>
      </c>
      <c r="O529" t="s">
        <v>36</v>
      </c>
      <c r="P529" t="s">
        <v>69</v>
      </c>
      <c r="Q529" t="s">
        <v>1031</v>
      </c>
      <c r="R529">
        <v>9.4600000000000009</v>
      </c>
      <c r="S529">
        <v>2</v>
      </c>
      <c r="T529">
        <v>0</v>
      </c>
      <c r="U529">
        <v>3.6894</v>
      </c>
      <c r="V529">
        <v>5.7706000000000008</v>
      </c>
      <c r="W529">
        <v>9.4600000000000009</v>
      </c>
      <c r="X529">
        <v>0.34658441063320966</v>
      </c>
    </row>
    <row r="530" spans="1:24" x14ac:dyDescent="0.3">
      <c r="A530" t="s">
        <v>3559</v>
      </c>
      <c r="B530" t="s">
        <v>3560</v>
      </c>
      <c r="C530" s="1">
        <v>42501</v>
      </c>
      <c r="D530" s="1">
        <v>42507</v>
      </c>
      <c r="E530" t="s">
        <v>54</v>
      </c>
      <c r="F530" t="s">
        <v>3561</v>
      </c>
      <c r="G530" t="s">
        <v>3562</v>
      </c>
      <c r="H530" t="s">
        <v>29</v>
      </c>
      <c r="I530" t="s">
        <v>30</v>
      </c>
      <c r="J530" t="s">
        <v>174</v>
      </c>
      <c r="K530" t="s">
        <v>97</v>
      </c>
      <c r="L530" t="s">
        <v>175</v>
      </c>
      <c r="M530" t="s">
        <v>99</v>
      </c>
      <c r="N530" t="s">
        <v>3494</v>
      </c>
      <c r="O530" t="s">
        <v>186</v>
      </c>
      <c r="P530" t="s">
        <v>228</v>
      </c>
      <c r="Q530" t="s">
        <v>3495</v>
      </c>
      <c r="R530">
        <v>46.863999999999997</v>
      </c>
      <c r="S530">
        <v>2</v>
      </c>
      <c r="T530">
        <v>0.2</v>
      </c>
      <c r="U530">
        <v>7.6154000000000002</v>
      </c>
      <c r="V530">
        <v>39.248599999999996</v>
      </c>
      <c r="W530">
        <v>37.491199999999999</v>
      </c>
      <c r="X530">
        <v>5.095723159552188E-2</v>
      </c>
    </row>
    <row r="531" spans="1:24" x14ac:dyDescent="0.3">
      <c r="A531" t="s">
        <v>3563</v>
      </c>
      <c r="B531" t="s">
        <v>3564</v>
      </c>
      <c r="C531" s="1">
        <v>43316</v>
      </c>
      <c r="D531" s="1">
        <v>43320</v>
      </c>
      <c r="E531" t="s">
        <v>54</v>
      </c>
      <c r="F531" t="s">
        <v>3565</v>
      </c>
      <c r="G531" t="s">
        <v>3566</v>
      </c>
      <c r="H531" t="s">
        <v>95</v>
      </c>
      <c r="I531" t="s">
        <v>30</v>
      </c>
      <c r="J531" t="s">
        <v>3500</v>
      </c>
      <c r="K531" t="s">
        <v>304</v>
      </c>
      <c r="L531" t="s">
        <v>3501</v>
      </c>
      <c r="M531" t="s">
        <v>34</v>
      </c>
      <c r="N531" t="s">
        <v>3567</v>
      </c>
      <c r="O531" t="s">
        <v>49</v>
      </c>
      <c r="P531" t="s">
        <v>1705</v>
      </c>
      <c r="Q531" t="s">
        <v>3568</v>
      </c>
      <c r="R531">
        <v>35.06</v>
      </c>
      <c r="S531">
        <v>2</v>
      </c>
      <c r="T531">
        <v>0</v>
      </c>
      <c r="U531">
        <v>10.518000000000001</v>
      </c>
      <c r="V531">
        <v>24.542000000000002</v>
      </c>
      <c r="W531">
        <v>35.06</v>
      </c>
      <c r="X531">
        <v>8.1492950859750626E-2</v>
      </c>
    </row>
    <row r="532" spans="1:24" x14ac:dyDescent="0.3">
      <c r="A532" t="s">
        <v>3569</v>
      </c>
      <c r="B532" t="s">
        <v>3570</v>
      </c>
      <c r="C532" s="1">
        <v>42451</v>
      </c>
      <c r="D532" s="1">
        <v>42455</v>
      </c>
      <c r="E532" t="s">
        <v>54</v>
      </c>
      <c r="F532" t="s">
        <v>3571</v>
      </c>
      <c r="G532" t="s">
        <v>3572</v>
      </c>
      <c r="H532" t="s">
        <v>29</v>
      </c>
      <c r="I532" t="s">
        <v>30</v>
      </c>
      <c r="J532" t="s">
        <v>3573</v>
      </c>
      <c r="K532" t="s">
        <v>76</v>
      </c>
      <c r="L532" t="s">
        <v>3574</v>
      </c>
      <c r="M532" t="s">
        <v>34</v>
      </c>
      <c r="N532" t="s">
        <v>255</v>
      </c>
      <c r="O532" t="s">
        <v>49</v>
      </c>
      <c r="P532" t="s">
        <v>89</v>
      </c>
      <c r="Q532" t="s">
        <v>256</v>
      </c>
      <c r="R532">
        <v>7.6440000000000001</v>
      </c>
      <c r="S532">
        <v>4</v>
      </c>
      <c r="T532">
        <v>0.7</v>
      </c>
      <c r="U532">
        <v>-5.8604000000000003</v>
      </c>
      <c r="V532">
        <v>13.5044</v>
      </c>
      <c r="W532">
        <v>2.2932000000000006</v>
      </c>
      <c r="X532">
        <v>0.29619975711619917</v>
      </c>
    </row>
    <row r="533" spans="1:24" x14ac:dyDescent="0.3">
      <c r="A533" t="s">
        <v>3575</v>
      </c>
      <c r="B533" t="s">
        <v>3576</v>
      </c>
      <c r="C533" s="1">
        <v>43730</v>
      </c>
      <c r="D533" s="1">
        <v>43734</v>
      </c>
      <c r="E533" t="s">
        <v>54</v>
      </c>
      <c r="F533" t="s">
        <v>3577</v>
      </c>
      <c r="G533" t="s">
        <v>3578</v>
      </c>
      <c r="H533" t="s">
        <v>43</v>
      </c>
      <c r="I533" t="s">
        <v>30</v>
      </c>
      <c r="J533" t="s">
        <v>2218</v>
      </c>
      <c r="K533" t="s">
        <v>108</v>
      </c>
      <c r="L533" t="s">
        <v>2219</v>
      </c>
      <c r="M533" t="s">
        <v>99</v>
      </c>
      <c r="N533" t="s">
        <v>3466</v>
      </c>
      <c r="O533" t="s">
        <v>49</v>
      </c>
      <c r="P533" t="s">
        <v>79</v>
      </c>
      <c r="Q533" t="s">
        <v>3467</v>
      </c>
      <c r="R533">
        <v>219.84</v>
      </c>
      <c r="S533">
        <v>4</v>
      </c>
      <c r="T533">
        <v>0</v>
      </c>
      <c r="U533">
        <v>107.7216</v>
      </c>
      <c r="V533">
        <v>112.11840000000001</v>
      </c>
      <c r="W533">
        <v>219.84</v>
      </c>
      <c r="X533">
        <v>3.567657048263264E-2</v>
      </c>
    </row>
    <row r="534" spans="1:24" x14ac:dyDescent="0.3">
      <c r="A534" t="s">
        <v>3579</v>
      </c>
      <c r="B534" t="s">
        <v>3580</v>
      </c>
      <c r="C534" s="1">
        <v>42781</v>
      </c>
      <c r="D534" s="1">
        <v>42785</v>
      </c>
      <c r="E534" t="s">
        <v>54</v>
      </c>
      <c r="F534" t="s">
        <v>3581</v>
      </c>
      <c r="G534" t="s">
        <v>3582</v>
      </c>
      <c r="H534" t="s">
        <v>43</v>
      </c>
      <c r="I534" t="s">
        <v>30</v>
      </c>
      <c r="J534" t="s">
        <v>3583</v>
      </c>
      <c r="K534" t="s">
        <v>108</v>
      </c>
      <c r="L534" t="s">
        <v>3584</v>
      </c>
      <c r="M534" t="s">
        <v>99</v>
      </c>
      <c r="N534" t="s">
        <v>3585</v>
      </c>
      <c r="O534" t="s">
        <v>186</v>
      </c>
      <c r="P534" t="s">
        <v>187</v>
      </c>
      <c r="Q534" t="s">
        <v>3586</v>
      </c>
      <c r="R534">
        <v>134.97</v>
      </c>
      <c r="S534">
        <v>3</v>
      </c>
      <c r="T534">
        <v>0</v>
      </c>
      <c r="U534">
        <v>64.785600000000002</v>
      </c>
      <c r="V534">
        <v>70.184399999999997</v>
      </c>
      <c r="W534">
        <v>134.97</v>
      </c>
      <c r="X534">
        <v>4.2744541522047638E-2</v>
      </c>
    </row>
    <row r="535" spans="1:24" x14ac:dyDescent="0.3">
      <c r="A535" t="s">
        <v>3587</v>
      </c>
      <c r="B535" t="s">
        <v>3588</v>
      </c>
      <c r="C535" s="1">
        <v>42712</v>
      </c>
      <c r="D535" s="1">
        <v>42717</v>
      </c>
      <c r="E535" t="s">
        <v>54</v>
      </c>
      <c r="F535" t="s">
        <v>3589</v>
      </c>
      <c r="G535" t="s">
        <v>3590</v>
      </c>
      <c r="H535" t="s">
        <v>43</v>
      </c>
      <c r="I535" t="s">
        <v>30</v>
      </c>
      <c r="J535" t="s">
        <v>174</v>
      </c>
      <c r="K535" t="s">
        <v>97</v>
      </c>
      <c r="L535" t="s">
        <v>193</v>
      </c>
      <c r="M535" t="s">
        <v>99</v>
      </c>
      <c r="N535" t="s">
        <v>3591</v>
      </c>
      <c r="O535" t="s">
        <v>49</v>
      </c>
      <c r="P535" t="s">
        <v>111</v>
      </c>
      <c r="Q535" t="s">
        <v>3592</v>
      </c>
      <c r="R535">
        <v>60.415999999999997</v>
      </c>
      <c r="S535">
        <v>2</v>
      </c>
      <c r="T535">
        <v>0.2</v>
      </c>
      <c r="U535">
        <v>6.0415999999999999</v>
      </c>
      <c r="V535">
        <v>54.374399999999994</v>
      </c>
      <c r="W535">
        <v>48.332799999999999</v>
      </c>
      <c r="X535">
        <v>3.6782015065913373E-2</v>
      </c>
    </row>
    <row r="536" spans="1:24" x14ac:dyDescent="0.3">
      <c r="A536" t="s">
        <v>3593</v>
      </c>
      <c r="B536" t="s">
        <v>3594</v>
      </c>
      <c r="C536" s="1">
        <v>43348</v>
      </c>
      <c r="D536" s="1">
        <v>43353</v>
      </c>
      <c r="E536" t="s">
        <v>54</v>
      </c>
      <c r="F536" t="s">
        <v>3595</v>
      </c>
      <c r="G536" t="s">
        <v>3596</v>
      </c>
      <c r="H536" t="s">
        <v>95</v>
      </c>
      <c r="I536" t="s">
        <v>30</v>
      </c>
      <c r="J536" t="s">
        <v>3597</v>
      </c>
      <c r="K536" t="s">
        <v>3598</v>
      </c>
      <c r="L536" t="s">
        <v>3599</v>
      </c>
      <c r="M536" t="s">
        <v>99</v>
      </c>
      <c r="N536" t="s">
        <v>2912</v>
      </c>
      <c r="O536" t="s">
        <v>49</v>
      </c>
      <c r="P536" t="s">
        <v>129</v>
      </c>
      <c r="Q536" t="s">
        <v>2913</v>
      </c>
      <c r="R536">
        <v>107.94</v>
      </c>
      <c r="S536">
        <v>3</v>
      </c>
      <c r="T536">
        <v>0</v>
      </c>
      <c r="U536">
        <v>26.984999999999999</v>
      </c>
      <c r="V536">
        <v>80.954999999999998</v>
      </c>
      <c r="W536">
        <v>107.94</v>
      </c>
      <c r="X536">
        <v>3.7057624606262739E-2</v>
      </c>
    </row>
    <row r="537" spans="1:24" x14ac:dyDescent="0.3">
      <c r="A537" t="s">
        <v>3600</v>
      </c>
      <c r="B537" t="s">
        <v>3601</v>
      </c>
      <c r="C537" s="1">
        <v>43320</v>
      </c>
      <c r="D537" s="1">
        <v>43322</v>
      </c>
      <c r="E537" t="s">
        <v>26</v>
      </c>
      <c r="F537" t="s">
        <v>3602</v>
      </c>
      <c r="G537" t="s">
        <v>3603</v>
      </c>
      <c r="H537" t="s">
        <v>29</v>
      </c>
      <c r="I537" t="s">
        <v>30</v>
      </c>
      <c r="J537" t="s">
        <v>782</v>
      </c>
      <c r="K537" t="s">
        <v>97</v>
      </c>
      <c r="L537" t="s">
        <v>1900</v>
      </c>
      <c r="M537" t="s">
        <v>99</v>
      </c>
      <c r="N537" t="s">
        <v>833</v>
      </c>
      <c r="O537" t="s">
        <v>49</v>
      </c>
      <c r="P537" t="s">
        <v>265</v>
      </c>
      <c r="Q537" t="s">
        <v>834</v>
      </c>
      <c r="R537">
        <v>11.167999999999999</v>
      </c>
      <c r="S537">
        <v>4</v>
      </c>
      <c r="T537">
        <v>0.2</v>
      </c>
      <c r="U537">
        <v>3.6295999999999999</v>
      </c>
      <c r="V537">
        <v>7.5383999999999993</v>
      </c>
      <c r="W537">
        <v>8.9344000000000001</v>
      </c>
      <c r="X537">
        <v>0.53061657646184868</v>
      </c>
    </row>
    <row r="538" spans="1:24" x14ac:dyDescent="0.3">
      <c r="A538" t="s">
        <v>3604</v>
      </c>
      <c r="B538" t="s">
        <v>3605</v>
      </c>
      <c r="C538" s="1">
        <v>43142</v>
      </c>
      <c r="D538" s="1">
        <v>43144</v>
      </c>
      <c r="E538" t="s">
        <v>180</v>
      </c>
      <c r="F538" t="s">
        <v>3606</v>
      </c>
      <c r="G538" t="s">
        <v>3607</v>
      </c>
      <c r="H538" t="s">
        <v>43</v>
      </c>
      <c r="I538" t="s">
        <v>30</v>
      </c>
      <c r="J538" t="s">
        <v>3608</v>
      </c>
      <c r="K538" t="s">
        <v>619</v>
      </c>
      <c r="L538" t="s">
        <v>3609</v>
      </c>
      <c r="M538" t="s">
        <v>99</v>
      </c>
      <c r="N538" t="s">
        <v>3610</v>
      </c>
      <c r="O538" t="s">
        <v>186</v>
      </c>
      <c r="P538" t="s">
        <v>187</v>
      </c>
      <c r="Q538" t="s">
        <v>3611</v>
      </c>
      <c r="R538">
        <v>69.930000000000007</v>
      </c>
      <c r="S538">
        <v>7</v>
      </c>
      <c r="T538">
        <v>0</v>
      </c>
      <c r="U538">
        <v>0.69930000000000003</v>
      </c>
      <c r="V538">
        <v>69.230700000000013</v>
      </c>
      <c r="W538">
        <v>69.930000000000007</v>
      </c>
      <c r="X538">
        <v>0.10111121222232332</v>
      </c>
    </row>
    <row r="539" spans="1:24" x14ac:dyDescent="0.3">
      <c r="A539" t="s">
        <v>3612</v>
      </c>
      <c r="B539" t="s">
        <v>3613</v>
      </c>
      <c r="C539" s="1">
        <v>43789</v>
      </c>
      <c r="D539" s="1">
        <v>43795</v>
      </c>
      <c r="E539" t="s">
        <v>54</v>
      </c>
      <c r="F539" t="s">
        <v>3614</v>
      </c>
      <c r="G539" t="s">
        <v>3615</v>
      </c>
      <c r="H539" t="s">
        <v>29</v>
      </c>
      <c r="I539" t="s">
        <v>30</v>
      </c>
      <c r="J539" t="s">
        <v>574</v>
      </c>
      <c r="K539" t="s">
        <v>476</v>
      </c>
      <c r="L539" t="s">
        <v>575</v>
      </c>
      <c r="M539" t="s">
        <v>147</v>
      </c>
      <c r="N539" t="s">
        <v>3616</v>
      </c>
      <c r="O539" t="s">
        <v>36</v>
      </c>
      <c r="P539" t="s">
        <v>69</v>
      </c>
      <c r="Q539" t="s">
        <v>3617</v>
      </c>
      <c r="R539">
        <v>77.599999999999994</v>
      </c>
      <c r="S539">
        <v>5</v>
      </c>
      <c r="T539">
        <v>0.2</v>
      </c>
      <c r="U539">
        <v>28.13</v>
      </c>
      <c r="V539">
        <v>49.47</v>
      </c>
      <c r="W539">
        <v>62.08</v>
      </c>
      <c r="X539">
        <v>0.10107135637760259</v>
      </c>
    </row>
    <row r="540" spans="1:24" x14ac:dyDescent="0.3">
      <c r="A540" t="s">
        <v>3618</v>
      </c>
      <c r="B540" t="s">
        <v>3619</v>
      </c>
      <c r="C540" s="1">
        <v>42515</v>
      </c>
      <c r="D540" s="1">
        <v>42519</v>
      </c>
      <c r="E540" t="s">
        <v>54</v>
      </c>
      <c r="F540" t="s">
        <v>3620</v>
      </c>
      <c r="G540" t="s">
        <v>3621</v>
      </c>
      <c r="H540" t="s">
        <v>29</v>
      </c>
      <c r="I540" t="s">
        <v>30</v>
      </c>
      <c r="J540" t="s">
        <v>286</v>
      </c>
      <c r="K540" t="s">
        <v>202</v>
      </c>
      <c r="L540" t="s">
        <v>358</v>
      </c>
      <c r="M540" t="s">
        <v>99</v>
      </c>
      <c r="N540" t="s">
        <v>3622</v>
      </c>
      <c r="O540" t="s">
        <v>49</v>
      </c>
      <c r="P540" t="s">
        <v>101</v>
      </c>
      <c r="Q540" t="s">
        <v>3623</v>
      </c>
      <c r="R540">
        <v>75.599999999999994</v>
      </c>
      <c r="S540">
        <v>2</v>
      </c>
      <c r="T540">
        <v>0.8</v>
      </c>
      <c r="U540">
        <v>-166.32</v>
      </c>
      <c r="V540">
        <v>241.92</v>
      </c>
      <c r="W540">
        <v>15.119999999999996</v>
      </c>
      <c r="X540">
        <v>8.2671957671957685E-3</v>
      </c>
    </row>
    <row r="541" spans="1:24" x14ac:dyDescent="0.3">
      <c r="A541" t="s">
        <v>3624</v>
      </c>
      <c r="B541" t="s">
        <v>3625</v>
      </c>
      <c r="C541" s="1">
        <v>43139</v>
      </c>
      <c r="D541" s="1">
        <v>43142</v>
      </c>
      <c r="E541" t="s">
        <v>26</v>
      </c>
      <c r="F541" t="s">
        <v>3626</v>
      </c>
      <c r="G541" t="s">
        <v>3627</v>
      </c>
      <c r="H541" t="s">
        <v>95</v>
      </c>
      <c r="I541" t="s">
        <v>30</v>
      </c>
      <c r="J541" t="s">
        <v>3628</v>
      </c>
      <c r="K541" t="s">
        <v>76</v>
      </c>
      <c r="L541" t="s">
        <v>3629</v>
      </c>
      <c r="M541" t="s">
        <v>34</v>
      </c>
      <c r="N541" t="s">
        <v>3630</v>
      </c>
      <c r="O541" t="s">
        <v>186</v>
      </c>
      <c r="P541" t="s">
        <v>187</v>
      </c>
      <c r="Q541" t="s">
        <v>3631</v>
      </c>
      <c r="R541">
        <v>1127.9760000000001</v>
      </c>
      <c r="S541">
        <v>3</v>
      </c>
      <c r="T541">
        <v>0.2</v>
      </c>
      <c r="U541">
        <v>126.8973</v>
      </c>
      <c r="V541">
        <v>1001.0787000000001</v>
      </c>
      <c r="W541">
        <v>902.38080000000014</v>
      </c>
      <c r="X541">
        <v>2.9967673870196217E-3</v>
      </c>
    </row>
    <row r="542" spans="1:24" x14ac:dyDescent="0.3">
      <c r="A542" t="s">
        <v>3632</v>
      </c>
      <c r="B542" t="s">
        <v>3633</v>
      </c>
      <c r="C542" s="1">
        <v>42929</v>
      </c>
      <c r="D542" s="1">
        <v>42931</v>
      </c>
      <c r="E542" t="s">
        <v>26</v>
      </c>
      <c r="F542" t="s">
        <v>3634</v>
      </c>
      <c r="G542" t="s">
        <v>3635</v>
      </c>
      <c r="H542" t="s">
        <v>43</v>
      </c>
      <c r="I542" t="s">
        <v>30</v>
      </c>
      <c r="J542" t="s">
        <v>3636</v>
      </c>
      <c r="K542" t="s">
        <v>1136</v>
      </c>
      <c r="L542" t="s">
        <v>3637</v>
      </c>
      <c r="M542" t="s">
        <v>34</v>
      </c>
      <c r="N542" t="s">
        <v>3638</v>
      </c>
      <c r="O542" t="s">
        <v>49</v>
      </c>
      <c r="P542" t="s">
        <v>79</v>
      </c>
      <c r="Q542" t="s">
        <v>3639</v>
      </c>
      <c r="R542">
        <v>38.880000000000003</v>
      </c>
      <c r="S542">
        <v>6</v>
      </c>
      <c r="T542">
        <v>0</v>
      </c>
      <c r="U542">
        <v>18.662400000000002</v>
      </c>
      <c r="V542">
        <v>20.217600000000001</v>
      </c>
      <c r="W542">
        <v>38.880000000000003</v>
      </c>
      <c r="X542">
        <v>0.29677113010446343</v>
      </c>
    </row>
    <row r="543" spans="1:24" x14ac:dyDescent="0.3">
      <c r="A543" t="s">
        <v>3640</v>
      </c>
      <c r="B543" t="s">
        <v>3641</v>
      </c>
      <c r="C543" s="1">
        <v>42583</v>
      </c>
      <c r="D543" s="1">
        <v>42587</v>
      </c>
      <c r="E543" t="s">
        <v>54</v>
      </c>
      <c r="F543" t="s">
        <v>3642</v>
      </c>
      <c r="G543" t="s">
        <v>3643</v>
      </c>
      <c r="H543" t="s">
        <v>43</v>
      </c>
      <c r="I543" t="s">
        <v>30</v>
      </c>
      <c r="J543" t="s">
        <v>443</v>
      </c>
      <c r="K543" t="s">
        <v>76</v>
      </c>
      <c r="L543" t="s">
        <v>444</v>
      </c>
      <c r="M543" t="s">
        <v>34</v>
      </c>
      <c r="N543" t="s">
        <v>48</v>
      </c>
      <c r="O543" t="s">
        <v>49</v>
      </c>
      <c r="P543" t="s">
        <v>50</v>
      </c>
      <c r="Q543" t="s">
        <v>51</v>
      </c>
      <c r="R543">
        <v>17.544</v>
      </c>
      <c r="S543">
        <v>3</v>
      </c>
      <c r="T543">
        <v>0.2</v>
      </c>
      <c r="U543">
        <v>5.9211</v>
      </c>
      <c r="V543">
        <v>11.622900000000001</v>
      </c>
      <c r="W543">
        <v>14.035200000000001</v>
      </c>
      <c r="X543">
        <v>0.25811114265802854</v>
      </c>
    </row>
    <row r="544" spans="1:24" x14ac:dyDescent="0.3">
      <c r="A544" t="s">
        <v>3644</v>
      </c>
      <c r="B544" t="s">
        <v>3645</v>
      </c>
      <c r="C544" s="1">
        <v>43299</v>
      </c>
      <c r="D544" s="1">
        <v>43304</v>
      </c>
      <c r="E544" t="s">
        <v>54</v>
      </c>
      <c r="F544" t="s">
        <v>3646</v>
      </c>
      <c r="G544" t="s">
        <v>3647</v>
      </c>
      <c r="H544" t="s">
        <v>43</v>
      </c>
      <c r="I544" t="s">
        <v>30</v>
      </c>
      <c r="J544" t="s">
        <v>3648</v>
      </c>
      <c r="K544" t="s">
        <v>32</v>
      </c>
      <c r="L544" t="s">
        <v>3649</v>
      </c>
      <c r="M544" t="s">
        <v>34</v>
      </c>
      <c r="N544" t="s">
        <v>3650</v>
      </c>
      <c r="O544" t="s">
        <v>36</v>
      </c>
      <c r="P544" t="s">
        <v>149</v>
      </c>
      <c r="Q544" t="s">
        <v>3651</v>
      </c>
      <c r="R544">
        <v>140.81</v>
      </c>
      <c r="S544">
        <v>1</v>
      </c>
      <c r="T544">
        <v>0</v>
      </c>
      <c r="U544">
        <v>39.4268</v>
      </c>
      <c r="V544">
        <v>101.3832</v>
      </c>
      <c r="W544">
        <v>140.81</v>
      </c>
      <c r="X544">
        <v>9.8635671393288039E-3</v>
      </c>
    </row>
    <row r="545" spans="1:24" x14ac:dyDescent="0.3">
      <c r="A545" t="s">
        <v>3652</v>
      </c>
      <c r="B545" t="s">
        <v>3653</v>
      </c>
      <c r="C545" s="1">
        <v>43675</v>
      </c>
      <c r="D545" s="1">
        <v>43679</v>
      </c>
      <c r="E545" t="s">
        <v>54</v>
      </c>
      <c r="F545" t="s">
        <v>3654</v>
      </c>
      <c r="G545" t="s">
        <v>3655</v>
      </c>
      <c r="H545" t="s">
        <v>29</v>
      </c>
      <c r="I545" t="s">
        <v>30</v>
      </c>
      <c r="J545" t="s">
        <v>85</v>
      </c>
      <c r="K545" t="s">
        <v>86</v>
      </c>
      <c r="L545" t="s">
        <v>613</v>
      </c>
      <c r="M545" t="s">
        <v>47</v>
      </c>
      <c r="N545" t="s">
        <v>3656</v>
      </c>
      <c r="O545" t="s">
        <v>186</v>
      </c>
      <c r="P545" t="s">
        <v>228</v>
      </c>
      <c r="Q545" t="s">
        <v>3657</v>
      </c>
      <c r="R545">
        <v>90.57</v>
      </c>
      <c r="S545">
        <v>3</v>
      </c>
      <c r="T545">
        <v>0</v>
      </c>
      <c r="U545">
        <v>11.774100000000001</v>
      </c>
      <c r="V545">
        <v>78.795899999999989</v>
      </c>
      <c r="W545">
        <v>90.57</v>
      </c>
      <c r="X545">
        <v>3.8073046947874195E-2</v>
      </c>
    </row>
    <row r="546" spans="1:24" x14ac:dyDescent="0.3">
      <c r="A546" t="s">
        <v>3658</v>
      </c>
      <c r="B546" t="s">
        <v>3659</v>
      </c>
      <c r="C546" s="1">
        <v>43386</v>
      </c>
      <c r="D546" s="1">
        <v>43390</v>
      </c>
      <c r="E546" t="s">
        <v>54</v>
      </c>
      <c r="F546" t="s">
        <v>3660</v>
      </c>
      <c r="G546" t="s">
        <v>3661</v>
      </c>
      <c r="H546" t="s">
        <v>43</v>
      </c>
      <c r="I546" t="s">
        <v>30</v>
      </c>
      <c r="J546" t="s">
        <v>434</v>
      </c>
      <c r="K546" t="s">
        <v>435</v>
      </c>
      <c r="L546" t="s">
        <v>436</v>
      </c>
      <c r="M546" t="s">
        <v>47</v>
      </c>
      <c r="N546" t="s">
        <v>3662</v>
      </c>
      <c r="O546" t="s">
        <v>36</v>
      </c>
      <c r="P546" t="s">
        <v>61</v>
      </c>
      <c r="Q546" t="s">
        <v>3663</v>
      </c>
      <c r="R546">
        <v>727.45</v>
      </c>
      <c r="S546">
        <v>5</v>
      </c>
      <c r="T546">
        <v>0.5</v>
      </c>
      <c r="U546">
        <v>-465.56799999999998</v>
      </c>
      <c r="V546">
        <v>1193.018</v>
      </c>
      <c r="W546">
        <v>363.72500000000002</v>
      </c>
      <c r="X546">
        <v>4.1910516019037433E-3</v>
      </c>
    </row>
    <row r="547" spans="1:24" x14ac:dyDescent="0.3">
      <c r="A547" t="s">
        <v>3664</v>
      </c>
      <c r="B547" t="s">
        <v>3665</v>
      </c>
      <c r="C547" s="1">
        <v>42572</v>
      </c>
      <c r="D547" s="1">
        <v>42576</v>
      </c>
      <c r="E547" t="s">
        <v>54</v>
      </c>
      <c r="F547" t="s">
        <v>3666</v>
      </c>
      <c r="G547" t="s">
        <v>3667</v>
      </c>
      <c r="H547" t="s">
        <v>43</v>
      </c>
      <c r="I547" t="s">
        <v>30</v>
      </c>
      <c r="J547" t="s">
        <v>126</v>
      </c>
      <c r="K547" t="s">
        <v>45</v>
      </c>
      <c r="L547" t="s">
        <v>343</v>
      </c>
      <c r="M547" t="s">
        <v>47</v>
      </c>
      <c r="N547" t="s">
        <v>3668</v>
      </c>
      <c r="O547" t="s">
        <v>49</v>
      </c>
      <c r="P547" t="s">
        <v>129</v>
      </c>
      <c r="Q547" t="s">
        <v>3669</v>
      </c>
      <c r="R547">
        <v>99.2</v>
      </c>
      <c r="S547">
        <v>5</v>
      </c>
      <c r="T547">
        <v>0</v>
      </c>
      <c r="U547">
        <v>25.792000000000002</v>
      </c>
      <c r="V547">
        <v>73.408000000000001</v>
      </c>
      <c r="W547">
        <v>99.2</v>
      </c>
      <c r="X547">
        <v>6.8112467306015695E-2</v>
      </c>
    </row>
    <row r="548" spans="1:24" x14ac:dyDescent="0.3">
      <c r="A548" t="s">
        <v>3670</v>
      </c>
      <c r="B548" t="s">
        <v>3671</v>
      </c>
      <c r="C548" s="1">
        <v>43790</v>
      </c>
      <c r="D548" s="1">
        <v>43794</v>
      </c>
      <c r="E548" t="s">
        <v>54</v>
      </c>
      <c r="F548" t="s">
        <v>3672</v>
      </c>
      <c r="G548" t="s">
        <v>3673</v>
      </c>
      <c r="H548" t="s">
        <v>29</v>
      </c>
      <c r="I548" t="s">
        <v>30</v>
      </c>
      <c r="J548" t="s">
        <v>3674</v>
      </c>
      <c r="K548" t="s">
        <v>86</v>
      </c>
      <c r="L548" t="s">
        <v>3675</v>
      </c>
      <c r="M548" t="s">
        <v>47</v>
      </c>
      <c r="N548" t="s">
        <v>3676</v>
      </c>
      <c r="O548" t="s">
        <v>36</v>
      </c>
      <c r="P548" t="s">
        <v>61</v>
      </c>
      <c r="Q548" t="s">
        <v>3677</v>
      </c>
      <c r="R548">
        <v>70.98</v>
      </c>
      <c r="S548">
        <v>1</v>
      </c>
      <c r="T548">
        <v>0</v>
      </c>
      <c r="U548">
        <v>20.584199999999999</v>
      </c>
      <c r="V548">
        <v>50.395800000000008</v>
      </c>
      <c r="W548">
        <v>70.98</v>
      </c>
      <c r="X548">
        <v>1.9842923418221355E-2</v>
      </c>
    </row>
    <row r="549" spans="1:24" x14ac:dyDescent="0.3">
      <c r="A549" t="s">
        <v>3678</v>
      </c>
      <c r="B549" t="s">
        <v>3679</v>
      </c>
      <c r="C549" s="1">
        <v>43549</v>
      </c>
      <c r="D549" s="1">
        <v>43553</v>
      </c>
      <c r="E549" t="s">
        <v>54</v>
      </c>
      <c r="F549" t="s">
        <v>3680</v>
      </c>
      <c r="G549" t="s">
        <v>3681</v>
      </c>
      <c r="H549" t="s">
        <v>29</v>
      </c>
      <c r="I549" t="s">
        <v>30</v>
      </c>
      <c r="J549" t="s">
        <v>656</v>
      </c>
      <c r="K549" t="s">
        <v>97</v>
      </c>
      <c r="L549" t="s">
        <v>657</v>
      </c>
      <c r="M549" t="s">
        <v>99</v>
      </c>
      <c r="N549" t="s">
        <v>1578</v>
      </c>
      <c r="O549" t="s">
        <v>186</v>
      </c>
      <c r="P549" t="s">
        <v>187</v>
      </c>
      <c r="Q549" t="s">
        <v>1579</v>
      </c>
      <c r="R549">
        <v>470.37599999999998</v>
      </c>
      <c r="S549">
        <v>3</v>
      </c>
      <c r="T549">
        <v>0.2</v>
      </c>
      <c r="U549">
        <v>47.037599999999998</v>
      </c>
      <c r="V549">
        <v>423.33839999999998</v>
      </c>
      <c r="W549">
        <v>376.30079999999998</v>
      </c>
      <c r="X549">
        <v>7.0865293580738252E-3</v>
      </c>
    </row>
    <row r="550" spans="1:24" x14ac:dyDescent="0.3">
      <c r="A550" t="s">
        <v>3682</v>
      </c>
      <c r="B550" t="s">
        <v>3683</v>
      </c>
      <c r="C550" s="1">
        <v>43801</v>
      </c>
      <c r="D550" s="1">
        <v>43804</v>
      </c>
      <c r="E550" t="s">
        <v>180</v>
      </c>
      <c r="F550" t="s">
        <v>3684</v>
      </c>
      <c r="G550" t="s">
        <v>3685</v>
      </c>
      <c r="H550" t="s">
        <v>29</v>
      </c>
      <c r="I550" t="s">
        <v>30</v>
      </c>
      <c r="J550" t="s">
        <v>3686</v>
      </c>
      <c r="K550" t="s">
        <v>304</v>
      </c>
      <c r="L550" t="s">
        <v>3687</v>
      </c>
      <c r="M550" t="s">
        <v>34</v>
      </c>
      <c r="N550" t="s">
        <v>3688</v>
      </c>
      <c r="O550" t="s">
        <v>49</v>
      </c>
      <c r="P550" t="s">
        <v>129</v>
      </c>
      <c r="Q550" t="s">
        <v>3689</v>
      </c>
      <c r="R550">
        <v>34.65</v>
      </c>
      <c r="S550">
        <v>3</v>
      </c>
      <c r="T550">
        <v>0</v>
      </c>
      <c r="U550">
        <v>10.395</v>
      </c>
      <c r="V550">
        <v>24.254999999999999</v>
      </c>
      <c r="W550">
        <v>34.65</v>
      </c>
      <c r="X550">
        <v>0.12368583797155226</v>
      </c>
    </row>
    <row r="551" spans="1:24" x14ac:dyDescent="0.3">
      <c r="A551" t="s">
        <v>3690</v>
      </c>
      <c r="B551" t="s">
        <v>3691</v>
      </c>
      <c r="C551" s="1">
        <v>43741</v>
      </c>
      <c r="D551" s="1">
        <v>43744</v>
      </c>
      <c r="E551" t="s">
        <v>180</v>
      </c>
      <c r="F551" t="s">
        <v>3692</v>
      </c>
      <c r="G551" t="s">
        <v>3693</v>
      </c>
      <c r="H551" t="s">
        <v>29</v>
      </c>
      <c r="I551" t="s">
        <v>30</v>
      </c>
      <c r="J551" t="s">
        <v>385</v>
      </c>
      <c r="K551" t="s">
        <v>225</v>
      </c>
      <c r="L551" t="s">
        <v>386</v>
      </c>
      <c r="M551" t="s">
        <v>99</v>
      </c>
      <c r="N551" t="s">
        <v>3694</v>
      </c>
      <c r="O551" t="s">
        <v>49</v>
      </c>
      <c r="P551" t="s">
        <v>89</v>
      </c>
      <c r="Q551" t="s">
        <v>3695</v>
      </c>
      <c r="R551">
        <v>1793.98</v>
      </c>
      <c r="S551">
        <v>2</v>
      </c>
      <c r="T551">
        <v>0</v>
      </c>
      <c r="U551">
        <v>843.17060000000004</v>
      </c>
      <c r="V551">
        <v>950.80939999999998</v>
      </c>
      <c r="W551">
        <v>1793.98</v>
      </c>
      <c r="X551">
        <v>2.103471000602224E-3</v>
      </c>
    </row>
    <row r="552" spans="1:24" x14ac:dyDescent="0.3">
      <c r="A552" t="s">
        <v>3696</v>
      </c>
      <c r="B552" t="s">
        <v>3697</v>
      </c>
      <c r="C552" s="1">
        <v>43759</v>
      </c>
      <c r="D552" s="1">
        <v>43762</v>
      </c>
      <c r="E552" t="s">
        <v>180</v>
      </c>
      <c r="F552" t="s">
        <v>3698</v>
      </c>
      <c r="G552" t="s">
        <v>3699</v>
      </c>
      <c r="H552" t="s">
        <v>43</v>
      </c>
      <c r="I552" t="s">
        <v>30</v>
      </c>
      <c r="J552" t="s">
        <v>3518</v>
      </c>
      <c r="K552" t="s">
        <v>253</v>
      </c>
      <c r="L552" t="s">
        <v>3519</v>
      </c>
      <c r="M552" t="s">
        <v>99</v>
      </c>
      <c r="N552" t="s">
        <v>1430</v>
      </c>
      <c r="O552" t="s">
        <v>49</v>
      </c>
      <c r="P552" t="s">
        <v>111</v>
      </c>
      <c r="Q552" t="s">
        <v>1431</v>
      </c>
      <c r="R552">
        <v>909.12</v>
      </c>
      <c r="S552">
        <v>8</v>
      </c>
      <c r="T552">
        <v>0</v>
      </c>
      <c r="U552">
        <v>9.0912000000000006</v>
      </c>
      <c r="V552">
        <v>900.02880000000005</v>
      </c>
      <c r="W552">
        <v>909.12</v>
      </c>
      <c r="X552">
        <v>8.8886044535463754E-3</v>
      </c>
    </row>
    <row r="553" spans="1:24" x14ac:dyDescent="0.3">
      <c r="A553" t="s">
        <v>3700</v>
      </c>
      <c r="B553" t="s">
        <v>3701</v>
      </c>
      <c r="C553" s="1">
        <v>43817</v>
      </c>
      <c r="D553" s="1">
        <v>43822</v>
      </c>
      <c r="E553" t="s">
        <v>54</v>
      </c>
      <c r="F553" t="s">
        <v>3702</v>
      </c>
      <c r="G553" t="s">
        <v>3703</v>
      </c>
      <c r="H553" t="s">
        <v>29</v>
      </c>
      <c r="I553" t="s">
        <v>30</v>
      </c>
      <c r="J553" t="s">
        <v>2055</v>
      </c>
      <c r="K553" t="s">
        <v>262</v>
      </c>
      <c r="L553" t="s">
        <v>2056</v>
      </c>
      <c r="M553" t="s">
        <v>147</v>
      </c>
      <c r="N553" t="s">
        <v>3704</v>
      </c>
      <c r="O553" t="s">
        <v>36</v>
      </c>
      <c r="P553" t="s">
        <v>69</v>
      </c>
      <c r="Q553" t="s">
        <v>3705</v>
      </c>
      <c r="R553">
        <v>18.96</v>
      </c>
      <c r="S553">
        <v>2</v>
      </c>
      <c r="T553">
        <v>0</v>
      </c>
      <c r="U553">
        <v>8.532</v>
      </c>
      <c r="V553">
        <v>10.428000000000001</v>
      </c>
      <c r="W553">
        <v>18.96</v>
      </c>
      <c r="X553">
        <v>0.19179133103183735</v>
      </c>
    </row>
    <row r="554" spans="1:24" x14ac:dyDescent="0.3">
      <c r="A554" t="s">
        <v>3706</v>
      </c>
      <c r="B554" t="s">
        <v>3707</v>
      </c>
      <c r="C554" s="1">
        <v>42384</v>
      </c>
      <c r="D554" s="1">
        <v>42386</v>
      </c>
      <c r="E554" t="s">
        <v>180</v>
      </c>
      <c r="F554" t="s">
        <v>3708</v>
      </c>
      <c r="G554" t="s">
        <v>3709</v>
      </c>
      <c r="H554" t="s">
        <v>29</v>
      </c>
      <c r="I554" t="s">
        <v>30</v>
      </c>
      <c r="J554" t="s">
        <v>2751</v>
      </c>
      <c r="K554" t="s">
        <v>1136</v>
      </c>
      <c r="L554" t="s">
        <v>2752</v>
      </c>
      <c r="M554" t="s">
        <v>34</v>
      </c>
      <c r="N554" t="s">
        <v>1989</v>
      </c>
      <c r="O554" t="s">
        <v>186</v>
      </c>
      <c r="P554" t="s">
        <v>228</v>
      </c>
      <c r="Q554" t="s">
        <v>1990</v>
      </c>
      <c r="R554">
        <v>149.94999999999999</v>
      </c>
      <c r="S554">
        <v>5</v>
      </c>
      <c r="T554">
        <v>0</v>
      </c>
      <c r="U554">
        <v>65.977999999999994</v>
      </c>
      <c r="V554">
        <v>83.971999999999994</v>
      </c>
      <c r="W554">
        <v>149.94999999999999</v>
      </c>
      <c r="X554">
        <v>5.9543657409612732E-2</v>
      </c>
    </row>
    <row r="555" spans="1:24" x14ac:dyDescent="0.3">
      <c r="A555" t="s">
        <v>3710</v>
      </c>
      <c r="B555" t="s">
        <v>3711</v>
      </c>
      <c r="C555" s="1">
        <v>43694</v>
      </c>
      <c r="D555" s="1">
        <v>43696</v>
      </c>
      <c r="E555" t="s">
        <v>180</v>
      </c>
      <c r="F555" t="s">
        <v>3712</v>
      </c>
      <c r="G555" t="s">
        <v>3713</v>
      </c>
      <c r="H555" t="s">
        <v>43</v>
      </c>
      <c r="I555" t="s">
        <v>30</v>
      </c>
      <c r="J555" t="s">
        <v>3714</v>
      </c>
      <c r="K555" t="s">
        <v>262</v>
      </c>
      <c r="L555" t="s">
        <v>3715</v>
      </c>
      <c r="M555" t="s">
        <v>147</v>
      </c>
      <c r="N555" t="s">
        <v>3716</v>
      </c>
      <c r="O555" t="s">
        <v>49</v>
      </c>
      <c r="P555" t="s">
        <v>89</v>
      </c>
      <c r="Q555" t="s">
        <v>3717</v>
      </c>
      <c r="R555">
        <v>895.92</v>
      </c>
      <c r="S555">
        <v>5</v>
      </c>
      <c r="T555">
        <v>0.2</v>
      </c>
      <c r="U555">
        <v>302.37299999999999</v>
      </c>
      <c r="V555">
        <v>593.54700000000003</v>
      </c>
      <c r="W555">
        <v>716.73599999999999</v>
      </c>
      <c r="X555">
        <v>8.4239327298427924E-3</v>
      </c>
    </row>
    <row r="556" spans="1:24" x14ac:dyDescent="0.3">
      <c r="A556" t="s">
        <v>3718</v>
      </c>
      <c r="B556" t="s">
        <v>3719</v>
      </c>
      <c r="C556" s="1">
        <v>43289</v>
      </c>
      <c r="D556" s="1">
        <v>43291</v>
      </c>
      <c r="E556" t="s">
        <v>26</v>
      </c>
      <c r="F556" t="s">
        <v>3720</v>
      </c>
      <c r="G556" t="s">
        <v>3721</v>
      </c>
      <c r="H556" t="s">
        <v>43</v>
      </c>
      <c r="I556" t="s">
        <v>30</v>
      </c>
      <c r="J556" t="s">
        <v>1020</v>
      </c>
      <c r="K556" t="s">
        <v>97</v>
      </c>
      <c r="L556" t="s">
        <v>3722</v>
      </c>
      <c r="M556" t="s">
        <v>99</v>
      </c>
      <c r="N556" t="s">
        <v>3723</v>
      </c>
      <c r="O556" t="s">
        <v>186</v>
      </c>
      <c r="P556" t="s">
        <v>187</v>
      </c>
      <c r="Q556" t="s">
        <v>3724</v>
      </c>
      <c r="R556">
        <v>863.64</v>
      </c>
      <c r="S556">
        <v>9</v>
      </c>
      <c r="T556">
        <v>0.2</v>
      </c>
      <c r="U556">
        <v>107.955</v>
      </c>
      <c r="V556">
        <v>755.68499999999995</v>
      </c>
      <c r="W556">
        <v>690.91200000000003</v>
      </c>
      <c r="X556">
        <v>1.1909724289882691E-2</v>
      </c>
    </row>
    <row r="557" spans="1:24" x14ac:dyDescent="0.3">
      <c r="A557" t="s">
        <v>3725</v>
      </c>
      <c r="B557" t="s">
        <v>3726</v>
      </c>
      <c r="C557" s="1">
        <v>43289</v>
      </c>
      <c r="D557" s="1">
        <v>43293</v>
      </c>
      <c r="E557" t="s">
        <v>54</v>
      </c>
      <c r="F557" t="s">
        <v>3727</v>
      </c>
      <c r="G557" t="s">
        <v>3728</v>
      </c>
      <c r="H557" t="s">
        <v>29</v>
      </c>
      <c r="I557" t="s">
        <v>30</v>
      </c>
      <c r="J557" t="s">
        <v>3729</v>
      </c>
      <c r="K557" t="s">
        <v>435</v>
      </c>
      <c r="L557" t="s">
        <v>3730</v>
      </c>
      <c r="M557" t="s">
        <v>47</v>
      </c>
      <c r="N557" t="s">
        <v>3731</v>
      </c>
      <c r="O557" t="s">
        <v>49</v>
      </c>
      <c r="P557" t="s">
        <v>89</v>
      </c>
      <c r="Q557" t="s">
        <v>3732</v>
      </c>
      <c r="R557">
        <v>19.968</v>
      </c>
      <c r="S557">
        <v>2</v>
      </c>
      <c r="T557">
        <v>0.7</v>
      </c>
      <c r="U557">
        <v>-13.311999999999999</v>
      </c>
      <c r="V557">
        <v>33.28</v>
      </c>
      <c r="W557">
        <v>5.9904000000000011</v>
      </c>
      <c r="X557">
        <v>6.0096153846153841E-2</v>
      </c>
    </row>
    <row r="558" spans="1:24" x14ac:dyDescent="0.3">
      <c r="A558" t="s">
        <v>3733</v>
      </c>
      <c r="B558" t="s">
        <v>3734</v>
      </c>
      <c r="C558" s="1">
        <v>43710</v>
      </c>
      <c r="D558" s="1">
        <v>43714</v>
      </c>
      <c r="E558" t="s">
        <v>54</v>
      </c>
      <c r="F558" t="s">
        <v>3735</v>
      </c>
      <c r="G558" t="s">
        <v>3736</v>
      </c>
      <c r="H558" t="s">
        <v>43</v>
      </c>
      <c r="I558" t="s">
        <v>30</v>
      </c>
      <c r="J558" t="s">
        <v>261</v>
      </c>
      <c r="K558" t="s">
        <v>262</v>
      </c>
      <c r="L558" t="s">
        <v>312</v>
      </c>
      <c r="M558" t="s">
        <v>147</v>
      </c>
      <c r="N558" t="s">
        <v>2431</v>
      </c>
      <c r="O558" t="s">
        <v>49</v>
      </c>
      <c r="P558" t="s">
        <v>129</v>
      </c>
      <c r="Q558" t="s">
        <v>2432</v>
      </c>
      <c r="R558">
        <v>23.1</v>
      </c>
      <c r="S558">
        <v>2</v>
      </c>
      <c r="T558">
        <v>0</v>
      </c>
      <c r="U558">
        <v>6.468</v>
      </c>
      <c r="V558">
        <v>16.632000000000001</v>
      </c>
      <c r="W558">
        <v>23.1</v>
      </c>
      <c r="X558">
        <v>0.12025012025012025</v>
      </c>
    </row>
    <row r="559" spans="1:24" x14ac:dyDescent="0.3">
      <c r="A559" t="s">
        <v>3737</v>
      </c>
      <c r="B559" t="s">
        <v>3738</v>
      </c>
      <c r="C559" s="1">
        <v>42718</v>
      </c>
      <c r="D559" s="1">
        <v>42723</v>
      </c>
      <c r="E559" t="s">
        <v>54</v>
      </c>
      <c r="F559" t="s">
        <v>3739</v>
      </c>
      <c r="G559" t="s">
        <v>3740</v>
      </c>
      <c r="H559" t="s">
        <v>29</v>
      </c>
      <c r="I559" t="s">
        <v>30</v>
      </c>
      <c r="J559" t="s">
        <v>286</v>
      </c>
      <c r="K559" t="s">
        <v>202</v>
      </c>
      <c r="L559" t="s">
        <v>287</v>
      </c>
      <c r="M559" t="s">
        <v>99</v>
      </c>
      <c r="N559" t="s">
        <v>3741</v>
      </c>
      <c r="O559" t="s">
        <v>49</v>
      </c>
      <c r="P559" t="s">
        <v>89</v>
      </c>
      <c r="Q559" t="s">
        <v>3742</v>
      </c>
      <c r="R559">
        <v>5.1040000000000001</v>
      </c>
      <c r="S559">
        <v>4</v>
      </c>
      <c r="T559">
        <v>0.8</v>
      </c>
      <c r="U559">
        <v>-8.6768000000000001</v>
      </c>
      <c r="V559">
        <v>13.780799999999999</v>
      </c>
      <c r="W559">
        <v>1.0207999999999997</v>
      </c>
      <c r="X559">
        <v>0.29025891094856615</v>
      </c>
    </row>
    <row r="560" spans="1:24" x14ac:dyDescent="0.3">
      <c r="A560" t="s">
        <v>3743</v>
      </c>
      <c r="B560" t="s">
        <v>3744</v>
      </c>
      <c r="C560" s="1">
        <v>43306</v>
      </c>
      <c r="D560" s="1">
        <v>43308</v>
      </c>
      <c r="E560" t="s">
        <v>180</v>
      </c>
      <c r="F560" t="s">
        <v>3745</v>
      </c>
      <c r="G560" t="s">
        <v>3746</v>
      </c>
      <c r="H560" t="s">
        <v>29</v>
      </c>
      <c r="I560" t="s">
        <v>30</v>
      </c>
      <c r="J560" t="s">
        <v>475</v>
      </c>
      <c r="K560" t="s">
        <v>476</v>
      </c>
      <c r="L560" t="s">
        <v>477</v>
      </c>
      <c r="M560" t="s">
        <v>147</v>
      </c>
      <c r="N560" t="s">
        <v>3747</v>
      </c>
      <c r="O560" t="s">
        <v>186</v>
      </c>
      <c r="P560" t="s">
        <v>2096</v>
      </c>
      <c r="Q560" t="s">
        <v>3748</v>
      </c>
      <c r="R560">
        <v>1439.9760000000001</v>
      </c>
      <c r="S560">
        <v>4</v>
      </c>
      <c r="T560">
        <v>0.4</v>
      </c>
      <c r="U560">
        <v>191.99680000000001</v>
      </c>
      <c r="V560">
        <v>1247.9792000000002</v>
      </c>
      <c r="W560">
        <v>863.98560000000009</v>
      </c>
      <c r="X560">
        <v>3.2051816248219516E-3</v>
      </c>
    </row>
    <row r="561" spans="1:24" x14ac:dyDescent="0.3">
      <c r="A561" t="s">
        <v>3749</v>
      </c>
      <c r="B561" t="s">
        <v>3750</v>
      </c>
      <c r="C561" s="1">
        <v>43801</v>
      </c>
      <c r="D561" s="1">
        <v>43803</v>
      </c>
      <c r="E561" t="s">
        <v>26</v>
      </c>
      <c r="F561" t="s">
        <v>3751</v>
      </c>
      <c r="G561" t="s">
        <v>3752</v>
      </c>
      <c r="H561" t="s">
        <v>29</v>
      </c>
      <c r="I561" t="s">
        <v>30</v>
      </c>
      <c r="J561" t="s">
        <v>174</v>
      </c>
      <c r="K561" t="s">
        <v>97</v>
      </c>
      <c r="L561" t="s">
        <v>676</v>
      </c>
      <c r="M561" t="s">
        <v>99</v>
      </c>
      <c r="N561" t="s">
        <v>3753</v>
      </c>
      <c r="O561" t="s">
        <v>49</v>
      </c>
      <c r="P561" t="s">
        <v>101</v>
      </c>
      <c r="Q561" t="s">
        <v>3754</v>
      </c>
      <c r="R561">
        <v>294.62</v>
      </c>
      <c r="S561">
        <v>5</v>
      </c>
      <c r="T561">
        <v>0.8</v>
      </c>
      <c r="U561">
        <v>-766.01199999999994</v>
      </c>
      <c r="V561">
        <v>1060.6320000000001</v>
      </c>
      <c r="W561">
        <v>58.923999999999985</v>
      </c>
      <c r="X561">
        <v>4.7141704191463202E-3</v>
      </c>
    </row>
    <row r="562" spans="1:24" x14ac:dyDescent="0.3">
      <c r="A562" t="s">
        <v>3755</v>
      </c>
      <c r="B562" t="s">
        <v>3756</v>
      </c>
      <c r="C562" s="1">
        <v>43566</v>
      </c>
      <c r="D562" s="1">
        <v>43573</v>
      </c>
      <c r="E562" t="s">
        <v>54</v>
      </c>
      <c r="F562" t="s">
        <v>3757</v>
      </c>
      <c r="G562" t="s">
        <v>3758</v>
      </c>
      <c r="H562" t="s">
        <v>29</v>
      </c>
      <c r="I562" t="s">
        <v>30</v>
      </c>
      <c r="J562" t="s">
        <v>568</v>
      </c>
      <c r="K562" t="s">
        <v>45</v>
      </c>
      <c r="L562" t="s">
        <v>569</v>
      </c>
      <c r="M562" t="s">
        <v>47</v>
      </c>
      <c r="N562" t="s">
        <v>3759</v>
      </c>
      <c r="O562" t="s">
        <v>186</v>
      </c>
      <c r="P562" t="s">
        <v>228</v>
      </c>
      <c r="Q562" t="s">
        <v>3760</v>
      </c>
      <c r="R562">
        <v>199.95</v>
      </c>
      <c r="S562">
        <v>5</v>
      </c>
      <c r="T562">
        <v>0</v>
      </c>
      <c r="U562">
        <v>21.994499999999999</v>
      </c>
      <c r="V562">
        <v>177.9555</v>
      </c>
      <c r="W562">
        <v>199.95</v>
      </c>
      <c r="X562">
        <v>2.8096911868416542E-2</v>
      </c>
    </row>
    <row r="563" spans="1:24" x14ac:dyDescent="0.3">
      <c r="A563" t="s">
        <v>3761</v>
      </c>
      <c r="B563" t="s">
        <v>3762</v>
      </c>
      <c r="C563" s="1">
        <v>43080</v>
      </c>
      <c r="D563" s="1">
        <v>43080</v>
      </c>
      <c r="E563" t="s">
        <v>1152</v>
      </c>
      <c r="F563" t="s">
        <v>3763</v>
      </c>
      <c r="G563" t="s">
        <v>3764</v>
      </c>
      <c r="H563" t="s">
        <v>29</v>
      </c>
      <c r="I563" t="s">
        <v>30</v>
      </c>
      <c r="J563" t="s">
        <v>174</v>
      </c>
      <c r="K563" t="s">
        <v>97</v>
      </c>
      <c r="L563" t="s">
        <v>193</v>
      </c>
      <c r="M563" t="s">
        <v>99</v>
      </c>
      <c r="N563" t="s">
        <v>3765</v>
      </c>
      <c r="O563" t="s">
        <v>186</v>
      </c>
      <c r="P563" t="s">
        <v>228</v>
      </c>
      <c r="Q563" t="s">
        <v>3766</v>
      </c>
      <c r="R563">
        <v>159.98400000000001</v>
      </c>
      <c r="S563">
        <v>2</v>
      </c>
      <c r="T563">
        <v>0.2</v>
      </c>
      <c r="U563">
        <v>35.996400000000001</v>
      </c>
      <c r="V563">
        <v>123.98760000000001</v>
      </c>
      <c r="W563">
        <v>127.98720000000002</v>
      </c>
      <c r="X563">
        <v>1.6130645322596775E-2</v>
      </c>
    </row>
    <row r="564" spans="1:24" x14ac:dyDescent="0.3">
      <c r="A564" t="s">
        <v>3767</v>
      </c>
      <c r="B564" t="s">
        <v>3768</v>
      </c>
      <c r="C564" s="1">
        <v>43361</v>
      </c>
      <c r="D564" s="1">
        <v>43366</v>
      </c>
      <c r="E564" t="s">
        <v>54</v>
      </c>
      <c r="F564" t="s">
        <v>3769</v>
      </c>
      <c r="G564" t="s">
        <v>3770</v>
      </c>
      <c r="H564" t="s">
        <v>29</v>
      </c>
      <c r="I564" t="s">
        <v>30</v>
      </c>
      <c r="J564" t="s">
        <v>1387</v>
      </c>
      <c r="K564" t="s">
        <v>335</v>
      </c>
      <c r="L564" t="s">
        <v>3771</v>
      </c>
      <c r="M564" t="s">
        <v>34</v>
      </c>
      <c r="N564" t="s">
        <v>3772</v>
      </c>
      <c r="O564" t="s">
        <v>36</v>
      </c>
      <c r="P564" t="s">
        <v>149</v>
      </c>
      <c r="Q564" t="s">
        <v>3773</v>
      </c>
      <c r="R564">
        <v>350.98</v>
      </c>
      <c r="S564">
        <v>1</v>
      </c>
      <c r="T564">
        <v>0</v>
      </c>
      <c r="U564">
        <v>84.235200000000006</v>
      </c>
      <c r="V564">
        <v>266.7448</v>
      </c>
      <c r="W564">
        <v>350.98</v>
      </c>
      <c r="X564">
        <v>3.748901571839451E-3</v>
      </c>
    </row>
    <row r="565" spans="1:24" x14ac:dyDescent="0.3">
      <c r="A565" t="s">
        <v>3774</v>
      </c>
      <c r="B565" t="s">
        <v>3775</v>
      </c>
      <c r="C565" s="1">
        <v>43362</v>
      </c>
      <c r="D565" s="1">
        <v>43364</v>
      </c>
      <c r="E565" t="s">
        <v>180</v>
      </c>
      <c r="F565" t="s">
        <v>3776</v>
      </c>
      <c r="G565" t="s">
        <v>3777</v>
      </c>
      <c r="H565" t="s">
        <v>95</v>
      </c>
      <c r="I565" t="s">
        <v>30</v>
      </c>
      <c r="J565" t="s">
        <v>2918</v>
      </c>
      <c r="K565" t="s">
        <v>1266</v>
      </c>
      <c r="L565" t="s">
        <v>2919</v>
      </c>
      <c r="M565" t="s">
        <v>147</v>
      </c>
      <c r="N565" t="s">
        <v>1757</v>
      </c>
      <c r="O565" t="s">
        <v>49</v>
      </c>
      <c r="P565" t="s">
        <v>111</v>
      </c>
      <c r="Q565" t="s">
        <v>1758</v>
      </c>
      <c r="R565">
        <v>1606.23</v>
      </c>
      <c r="S565">
        <v>9</v>
      </c>
      <c r="T565">
        <v>0</v>
      </c>
      <c r="U565">
        <v>481.86900000000003</v>
      </c>
      <c r="V565">
        <v>1124.3609999999999</v>
      </c>
      <c r="W565">
        <v>1606.23</v>
      </c>
      <c r="X565">
        <v>8.0045465824588376E-3</v>
      </c>
    </row>
    <row r="566" spans="1:24" x14ac:dyDescent="0.3">
      <c r="A566" t="s">
        <v>3778</v>
      </c>
      <c r="B566" t="s">
        <v>3779</v>
      </c>
      <c r="C566" s="1">
        <v>43733</v>
      </c>
      <c r="D566" s="1">
        <v>43737</v>
      </c>
      <c r="E566" t="s">
        <v>54</v>
      </c>
      <c r="F566" t="s">
        <v>3780</v>
      </c>
      <c r="G566" t="s">
        <v>3781</v>
      </c>
      <c r="H566" t="s">
        <v>29</v>
      </c>
      <c r="I566" t="s">
        <v>30</v>
      </c>
      <c r="J566" t="s">
        <v>365</v>
      </c>
      <c r="K566" t="s">
        <v>225</v>
      </c>
      <c r="L566" t="s">
        <v>366</v>
      </c>
      <c r="M566" t="s">
        <v>99</v>
      </c>
      <c r="N566" t="s">
        <v>3782</v>
      </c>
      <c r="O566" t="s">
        <v>49</v>
      </c>
      <c r="P566" t="s">
        <v>89</v>
      </c>
      <c r="Q566" t="s">
        <v>3783</v>
      </c>
      <c r="R566">
        <v>8.26</v>
      </c>
      <c r="S566">
        <v>2</v>
      </c>
      <c r="T566">
        <v>0</v>
      </c>
      <c r="U566">
        <v>3.8822000000000001</v>
      </c>
      <c r="V566">
        <v>4.3777999999999997</v>
      </c>
      <c r="W566">
        <v>8.26</v>
      </c>
      <c r="X566">
        <v>0.45685047284023944</v>
      </c>
    </row>
    <row r="567" spans="1:24" x14ac:dyDescent="0.3">
      <c r="A567" t="s">
        <v>3784</v>
      </c>
      <c r="B567" t="s">
        <v>3785</v>
      </c>
      <c r="C567" s="1">
        <v>43298</v>
      </c>
      <c r="D567" s="1">
        <v>43302</v>
      </c>
      <c r="E567" t="s">
        <v>54</v>
      </c>
      <c r="F567" t="s">
        <v>3786</v>
      </c>
      <c r="G567" t="s">
        <v>3787</v>
      </c>
      <c r="H567" t="s">
        <v>43</v>
      </c>
      <c r="I567" t="s">
        <v>30</v>
      </c>
      <c r="J567" t="s">
        <v>3788</v>
      </c>
      <c r="K567" t="s">
        <v>751</v>
      </c>
      <c r="L567" t="s">
        <v>3789</v>
      </c>
      <c r="M567" t="s">
        <v>147</v>
      </c>
      <c r="N567" t="s">
        <v>2934</v>
      </c>
      <c r="O567" t="s">
        <v>49</v>
      </c>
      <c r="P567" t="s">
        <v>101</v>
      </c>
      <c r="Q567" t="s">
        <v>2935</v>
      </c>
      <c r="R567">
        <v>162.63999999999999</v>
      </c>
      <c r="S567">
        <v>2</v>
      </c>
      <c r="T567">
        <v>0</v>
      </c>
      <c r="U567">
        <v>45.539200000000001</v>
      </c>
      <c r="V567">
        <v>117.10079999999999</v>
      </c>
      <c r="W567">
        <v>162.63999999999999</v>
      </c>
      <c r="X567">
        <v>1.7079302617915508E-2</v>
      </c>
    </row>
    <row r="568" spans="1:24" x14ac:dyDescent="0.3">
      <c r="A568" t="s">
        <v>3790</v>
      </c>
      <c r="B568" t="s">
        <v>3791</v>
      </c>
      <c r="C568" s="1">
        <v>43302</v>
      </c>
      <c r="D568" s="1">
        <v>43304</v>
      </c>
      <c r="E568" t="s">
        <v>26</v>
      </c>
      <c r="F568" t="s">
        <v>3792</v>
      </c>
      <c r="G568" t="s">
        <v>3793</v>
      </c>
      <c r="H568" t="s">
        <v>43</v>
      </c>
      <c r="I568" t="s">
        <v>30</v>
      </c>
      <c r="J568" t="s">
        <v>144</v>
      </c>
      <c r="K568" t="s">
        <v>145</v>
      </c>
      <c r="L568" t="s">
        <v>634</v>
      </c>
      <c r="M568" t="s">
        <v>147</v>
      </c>
      <c r="N568" t="s">
        <v>3794</v>
      </c>
      <c r="O568" t="s">
        <v>49</v>
      </c>
      <c r="P568" t="s">
        <v>89</v>
      </c>
      <c r="Q568" t="s">
        <v>3795</v>
      </c>
      <c r="R568">
        <v>1.9410000000000001</v>
      </c>
      <c r="S568">
        <v>1</v>
      </c>
      <c r="T568">
        <v>0.7</v>
      </c>
      <c r="U568">
        <v>-1.294</v>
      </c>
      <c r="V568">
        <v>3.2350000000000003</v>
      </c>
      <c r="W568">
        <v>0.58230000000000015</v>
      </c>
      <c r="X568">
        <v>0.30911901081916537</v>
      </c>
    </row>
    <row r="569" spans="1:24" x14ac:dyDescent="0.3">
      <c r="A569" t="s">
        <v>3796</v>
      </c>
      <c r="B569" t="s">
        <v>3797</v>
      </c>
      <c r="C569" s="1">
        <v>43789</v>
      </c>
      <c r="D569" s="1">
        <v>43794</v>
      </c>
      <c r="E569" t="s">
        <v>54</v>
      </c>
      <c r="F569" t="s">
        <v>3798</v>
      </c>
      <c r="G569" t="s">
        <v>3799</v>
      </c>
      <c r="H569" t="s">
        <v>29</v>
      </c>
      <c r="I569" t="s">
        <v>30</v>
      </c>
      <c r="J569" t="s">
        <v>3800</v>
      </c>
      <c r="K569" t="s">
        <v>45</v>
      </c>
      <c r="L569" t="s">
        <v>3801</v>
      </c>
      <c r="M569" t="s">
        <v>47</v>
      </c>
      <c r="N569" t="s">
        <v>1717</v>
      </c>
      <c r="O569" t="s">
        <v>36</v>
      </c>
      <c r="P569" t="s">
        <v>149</v>
      </c>
      <c r="Q569" t="s">
        <v>1718</v>
      </c>
      <c r="R569">
        <v>283.92</v>
      </c>
      <c r="S569">
        <v>5</v>
      </c>
      <c r="T569">
        <v>0.2</v>
      </c>
      <c r="U569">
        <v>-46.137</v>
      </c>
      <c r="V569">
        <v>330.05700000000002</v>
      </c>
      <c r="W569">
        <v>227.13600000000002</v>
      </c>
      <c r="X569">
        <v>1.5148898523588349E-2</v>
      </c>
    </row>
    <row r="570" spans="1:24" x14ac:dyDescent="0.3">
      <c r="A570" t="s">
        <v>3802</v>
      </c>
      <c r="B570" t="s">
        <v>3803</v>
      </c>
      <c r="C570" s="1">
        <v>43430</v>
      </c>
      <c r="D570" s="1">
        <v>43436</v>
      </c>
      <c r="E570" t="s">
        <v>54</v>
      </c>
      <c r="F570" t="s">
        <v>3804</v>
      </c>
      <c r="G570" t="s">
        <v>3805</v>
      </c>
      <c r="H570" t="s">
        <v>43</v>
      </c>
      <c r="I570" t="s">
        <v>30</v>
      </c>
      <c r="J570" t="s">
        <v>85</v>
      </c>
      <c r="K570" t="s">
        <v>86</v>
      </c>
      <c r="L570" t="s">
        <v>606</v>
      </c>
      <c r="M570" t="s">
        <v>47</v>
      </c>
      <c r="N570" t="s">
        <v>3806</v>
      </c>
      <c r="O570" t="s">
        <v>49</v>
      </c>
      <c r="P570" t="s">
        <v>89</v>
      </c>
      <c r="Q570" t="s">
        <v>3807</v>
      </c>
      <c r="R570">
        <v>7.3120000000000003</v>
      </c>
      <c r="S570">
        <v>2</v>
      </c>
      <c r="T570">
        <v>0.2</v>
      </c>
      <c r="U570">
        <v>2.5592000000000001</v>
      </c>
      <c r="V570">
        <v>4.7528000000000006</v>
      </c>
      <c r="W570">
        <v>5.8496000000000006</v>
      </c>
      <c r="X570">
        <v>0.42080457835381246</v>
      </c>
    </row>
    <row r="571" spans="1:24" x14ac:dyDescent="0.3">
      <c r="A571" t="s">
        <v>3808</v>
      </c>
      <c r="B571" t="s">
        <v>3809</v>
      </c>
      <c r="C571" s="1">
        <v>43720</v>
      </c>
      <c r="D571" s="1">
        <v>43723</v>
      </c>
      <c r="E571" t="s">
        <v>180</v>
      </c>
      <c r="F571" t="s">
        <v>3810</v>
      </c>
      <c r="G571" t="s">
        <v>3811</v>
      </c>
      <c r="H571" t="s">
        <v>29</v>
      </c>
      <c r="I571" t="s">
        <v>30</v>
      </c>
      <c r="J571" t="s">
        <v>3812</v>
      </c>
      <c r="K571" t="s">
        <v>2361</v>
      </c>
      <c r="L571" t="s">
        <v>3813</v>
      </c>
      <c r="M571" t="s">
        <v>147</v>
      </c>
      <c r="N571" t="s">
        <v>3814</v>
      </c>
      <c r="O571" t="s">
        <v>49</v>
      </c>
      <c r="P571" t="s">
        <v>79</v>
      </c>
      <c r="Q571" t="s">
        <v>3815</v>
      </c>
      <c r="R571">
        <v>39.9</v>
      </c>
      <c r="S571">
        <v>5</v>
      </c>
      <c r="T571">
        <v>0</v>
      </c>
      <c r="U571">
        <v>19.95</v>
      </c>
      <c r="V571">
        <v>19.95</v>
      </c>
      <c r="W571">
        <v>39.9</v>
      </c>
      <c r="X571">
        <v>0.25062656641604009</v>
      </c>
    </row>
    <row r="572" spans="1:24" x14ac:dyDescent="0.3">
      <c r="A572" t="s">
        <v>3816</v>
      </c>
      <c r="B572" t="s">
        <v>3817</v>
      </c>
      <c r="C572" s="1">
        <v>43661</v>
      </c>
      <c r="D572" s="1">
        <v>43665</v>
      </c>
      <c r="E572" t="s">
        <v>54</v>
      </c>
      <c r="F572" t="s">
        <v>3818</v>
      </c>
      <c r="G572" t="s">
        <v>3819</v>
      </c>
      <c r="H572" t="s">
        <v>29</v>
      </c>
      <c r="I572" t="s">
        <v>30</v>
      </c>
      <c r="J572" t="s">
        <v>498</v>
      </c>
      <c r="K572" t="s">
        <v>244</v>
      </c>
      <c r="L572" t="s">
        <v>499</v>
      </c>
      <c r="M572" t="s">
        <v>147</v>
      </c>
      <c r="N572" t="s">
        <v>3820</v>
      </c>
      <c r="O572" t="s">
        <v>49</v>
      </c>
      <c r="P572" t="s">
        <v>89</v>
      </c>
      <c r="Q572" t="s">
        <v>3821</v>
      </c>
      <c r="R572">
        <v>26.55</v>
      </c>
      <c r="S572">
        <v>3</v>
      </c>
      <c r="T572">
        <v>0</v>
      </c>
      <c r="U572">
        <v>13.009499999999999</v>
      </c>
      <c r="V572">
        <v>13.540500000000002</v>
      </c>
      <c r="W572">
        <v>26.55</v>
      </c>
      <c r="X572">
        <v>0.22155754957350168</v>
      </c>
    </row>
    <row r="573" spans="1:24" x14ac:dyDescent="0.3">
      <c r="A573" t="s">
        <v>3822</v>
      </c>
      <c r="B573" t="s">
        <v>3823</v>
      </c>
      <c r="C573" s="1">
        <v>42569</v>
      </c>
      <c r="D573" s="1">
        <v>42569</v>
      </c>
      <c r="E573" t="s">
        <v>1152</v>
      </c>
      <c r="F573" t="s">
        <v>3824</v>
      </c>
      <c r="G573" t="s">
        <v>3825</v>
      </c>
      <c r="H573" t="s">
        <v>95</v>
      </c>
      <c r="I573" t="s">
        <v>30</v>
      </c>
      <c r="J573" t="s">
        <v>1171</v>
      </c>
      <c r="K573" t="s">
        <v>295</v>
      </c>
      <c r="L573" t="s">
        <v>1172</v>
      </c>
      <c r="M573" t="s">
        <v>47</v>
      </c>
      <c r="N573" t="s">
        <v>3826</v>
      </c>
      <c r="O573" t="s">
        <v>36</v>
      </c>
      <c r="P573" t="s">
        <v>149</v>
      </c>
      <c r="Q573" t="s">
        <v>3827</v>
      </c>
      <c r="R573">
        <v>259.13600000000002</v>
      </c>
      <c r="S573">
        <v>4</v>
      </c>
      <c r="T573">
        <v>0.2</v>
      </c>
      <c r="U573">
        <v>-25.913599999999999</v>
      </c>
      <c r="V573">
        <v>285.0496</v>
      </c>
      <c r="W573">
        <v>207.30880000000002</v>
      </c>
      <c r="X573">
        <v>1.4032645546599609E-2</v>
      </c>
    </row>
    <row r="574" spans="1:24" x14ac:dyDescent="0.3">
      <c r="A574" t="s">
        <v>3828</v>
      </c>
      <c r="B574" t="s">
        <v>3829</v>
      </c>
      <c r="C574" s="1">
        <v>42643</v>
      </c>
      <c r="D574" s="1">
        <v>42648</v>
      </c>
      <c r="E574" t="s">
        <v>54</v>
      </c>
      <c r="F574" t="s">
        <v>3830</v>
      </c>
      <c r="G574" t="s">
        <v>3831</v>
      </c>
      <c r="H574" t="s">
        <v>29</v>
      </c>
      <c r="I574" t="s">
        <v>30</v>
      </c>
      <c r="J574" t="s">
        <v>3832</v>
      </c>
      <c r="K574" t="s">
        <v>58</v>
      </c>
      <c r="L574" t="s">
        <v>3833</v>
      </c>
      <c r="M574" t="s">
        <v>34</v>
      </c>
      <c r="N574" t="s">
        <v>3834</v>
      </c>
      <c r="O574" t="s">
        <v>49</v>
      </c>
      <c r="P574" t="s">
        <v>79</v>
      </c>
      <c r="Q574" t="s">
        <v>3835</v>
      </c>
      <c r="R574">
        <v>15.552</v>
      </c>
      <c r="S574">
        <v>3</v>
      </c>
      <c r="T574">
        <v>0.2</v>
      </c>
      <c r="U574">
        <v>5.4432</v>
      </c>
      <c r="V574">
        <v>10.108799999999999</v>
      </c>
      <c r="W574">
        <v>12.441600000000001</v>
      </c>
      <c r="X574">
        <v>0.29677113010446349</v>
      </c>
    </row>
    <row r="575" spans="1:24" x14ac:dyDescent="0.3">
      <c r="A575" t="s">
        <v>3836</v>
      </c>
      <c r="B575" t="s">
        <v>3837</v>
      </c>
      <c r="C575" s="1">
        <v>43362</v>
      </c>
      <c r="D575" s="1">
        <v>43366</v>
      </c>
      <c r="E575" t="s">
        <v>54</v>
      </c>
      <c r="F575" t="s">
        <v>3838</v>
      </c>
      <c r="G575" t="s">
        <v>3839</v>
      </c>
      <c r="H575" t="s">
        <v>29</v>
      </c>
      <c r="I575" t="s">
        <v>30</v>
      </c>
      <c r="J575" t="s">
        <v>3840</v>
      </c>
      <c r="K575" t="s">
        <v>45</v>
      </c>
      <c r="L575" t="s">
        <v>3841</v>
      </c>
      <c r="M575" t="s">
        <v>47</v>
      </c>
      <c r="N575" t="s">
        <v>3842</v>
      </c>
      <c r="O575" t="s">
        <v>49</v>
      </c>
      <c r="P575" t="s">
        <v>79</v>
      </c>
      <c r="Q575" t="s">
        <v>3843</v>
      </c>
      <c r="R575">
        <v>159.88</v>
      </c>
      <c r="S575">
        <v>7</v>
      </c>
      <c r="T575">
        <v>0</v>
      </c>
      <c r="U575">
        <v>73.544799999999995</v>
      </c>
      <c r="V575">
        <v>86.3352</v>
      </c>
      <c r="W575">
        <v>159.88</v>
      </c>
      <c r="X575">
        <v>8.1079328014529412E-2</v>
      </c>
    </row>
    <row r="576" spans="1:24" x14ac:dyDescent="0.3">
      <c r="A576" t="s">
        <v>3844</v>
      </c>
      <c r="B576" t="s">
        <v>3845</v>
      </c>
      <c r="C576" s="1">
        <v>42544</v>
      </c>
      <c r="D576" s="1">
        <v>42549</v>
      </c>
      <c r="E576" t="s">
        <v>54</v>
      </c>
      <c r="F576" t="s">
        <v>3846</v>
      </c>
      <c r="G576" t="s">
        <v>3847</v>
      </c>
      <c r="H576" t="s">
        <v>29</v>
      </c>
      <c r="I576" t="s">
        <v>30</v>
      </c>
      <c r="J576" t="s">
        <v>144</v>
      </c>
      <c r="K576" t="s">
        <v>145</v>
      </c>
      <c r="L576" t="s">
        <v>1052</v>
      </c>
      <c r="M576" t="s">
        <v>147</v>
      </c>
      <c r="N576" t="s">
        <v>1294</v>
      </c>
      <c r="O576" t="s">
        <v>186</v>
      </c>
      <c r="P576" t="s">
        <v>228</v>
      </c>
      <c r="Q576" t="s">
        <v>1295</v>
      </c>
      <c r="R576">
        <v>86.376000000000005</v>
      </c>
      <c r="S576">
        <v>3</v>
      </c>
      <c r="T576">
        <v>0.2</v>
      </c>
      <c r="U576">
        <v>1.0797000000000001</v>
      </c>
      <c r="V576">
        <v>85.296300000000002</v>
      </c>
      <c r="W576">
        <v>69.100800000000007</v>
      </c>
      <c r="X576">
        <v>3.5171513887472257E-2</v>
      </c>
    </row>
    <row r="577" spans="1:24" x14ac:dyDescent="0.3">
      <c r="A577" t="s">
        <v>3848</v>
      </c>
      <c r="B577" t="s">
        <v>3849</v>
      </c>
      <c r="C577" s="1">
        <v>42510</v>
      </c>
      <c r="D577" s="1">
        <v>42512</v>
      </c>
      <c r="E577" t="s">
        <v>26</v>
      </c>
      <c r="F577" t="s">
        <v>3850</v>
      </c>
      <c r="G577" t="s">
        <v>3851</v>
      </c>
      <c r="H577" t="s">
        <v>43</v>
      </c>
      <c r="I577" t="s">
        <v>30</v>
      </c>
      <c r="J577" t="s">
        <v>243</v>
      </c>
      <c r="K577" t="s">
        <v>3852</v>
      </c>
      <c r="L577" t="s">
        <v>3853</v>
      </c>
      <c r="M577" t="s">
        <v>147</v>
      </c>
      <c r="N577" t="s">
        <v>3854</v>
      </c>
      <c r="O577" t="s">
        <v>49</v>
      </c>
      <c r="P577" t="s">
        <v>101</v>
      </c>
      <c r="Q577" t="s">
        <v>3855</v>
      </c>
      <c r="R577">
        <v>33.28</v>
      </c>
      <c r="S577">
        <v>4</v>
      </c>
      <c r="T577">
        <v>0</v>
      </c>
      <c r="U577">
        <v>9.3184000000000005</v>
      </c>
      <c r="V577">
        <v>23.961600000000001</v>
      </c>
      <c r="W577">
        <v>33.28</v>
      </c>
      <c r="X577">
        <v>0.16693376068376067</v>
      </c>
    </row>
    <row r="578" spans="1:24" x14ac:dyDescent="0.3">
      <c r="A578" t="s">
        <v>3856</v>
      </c>
      <c r="B578" t="s">
        <v>3857</v>
      </c>
      <c r="C578" s="1">
        <v>43069</v>
      </c>
      <c r="D578" s="1">
        <v>43073</v>
      </c>
      <c r="E578" t="s">
        <v>54</v>
      </c>
      <c r="F578" t="s">
        <v>3858</v>
      </c>
      <c r="G578" t="s">
        <v>3859</v>
      </c>
      <c r="H578" t="s">
        <v>29</v>
      </c>
      <c r="I578" t="s">
        <v>30</v>
      </c>
      <c r="J578" t="s">
        <v>144</v>
      </c>
      <c r="K578" t="s">
        <v>145</v>
      </c>
      <c r="L578" t="s">
        <v>634</v>
      </c>
      <c r="M578" t="s">
        <v>147</v>
      </c>
      <c r="N578" t="s">
        <v>88</v>
      </c>
      <c r="O578" t="s">
        <v>49</v>
      </c>
      <c r="P578" t="s">
        <v>89</v>
      </c>
      <c r="Q578" t="s">
        <v>90</v>
      </c>
      <c r="R578">
        <v>152.99100000000001</v>
      </c>
      <c r="S578">
        <v>3</v>
      </c>
      <c r="T578">
        <v>0.7</v>
      </c>
      <c r="U578">
        <v>-122.39279999999999</v>
      </c>
      <c r="V578">
        <v>275.38380000000001</v>
      </c>
      <c r="W578">
        <v>45.897300000000008</v>
      </c>
      <c r="X578">
        <v>1.0893887004246436E-2</v>
      </c>
    </row>
    <row r="579" spans="1:24" x14ac:dyDescent="0.3">
      <c r="A579" t="s">
        <v>3860</v>
      </c>
      <c r="B579" t="s">
        <v>3861</v>
      </c>
      <c r="C579" s="1">
        <v>43100</v>
      </c>
      <c r="D579" s="1">
        <v>43105</v>
      </c>
      <c r="E579" t="s">
        <v>54</v>
      </c>
      <c r="F579" t="s">
        <v>3862</v>
      </c>
      <c r="G579" t="s">
        <v>3863</v>
      </c>
      <c r="H579" t="s">
        <v>29</v>
      </c>
      <c r="I579" t="s">
        <v>30</v>
      </c>
      <c r="J579" t="s">
        <v>720</v>
      </c>
      <c r="K579" t="s">
        <v>97</v>
      </c>
      <c r="L579" t="s">
        <v>721</v>
      </c>
      <c r="M579" t="s">
        <v>99</v>
      </c>
      <c r="N579" t="s">
        <v>3864</v>
      </c>
      <c r="O579" t="s">
        <v>36</v>
      </c>
      <c r="P579" t="s">
        <v>69</v>
      </c>
      <c r="Q579" t="s">
        <v>3865</v>
      </c>
      <c r="R579">
        <v>14.76</v>
      </c>
      <c r="S579">
        <v>5</v>
      </c>
      <c r="T579">
        <v>0.6</v>
      </c>
      <c r="U579">
        <v>-11.439</v>
      </c>
      <c r="V579">
        <v>26.198999999999998</v>
      </c>
      <c r="W579">
        <v>5.9039999999999999</v>
      </c>
      <c r="X579">
        <v>0.19084697889232416</v>
      </c>
    </row>
    <row r="580" spans="1:24" x14ac:dyDescent="0.3">
      <c r="A580" t="s">
        <v>3866</v>
      </c>
      <c r="B580" t="s">
        <v>3867</v>
      </c>
      <c r="C580" s="1">
        <v>43788</v>
      </c>
      <c r="D580" s="1">
        <v>43795</v>
      </c>
      <c r="E580" t="s">
        <v>54</v>
      </c>
      <c r="F580" t="s">
        <v>3868</v>
      </c>
      <c r="G580" t="s">
        <v>3869</v>
      </c>
      <c r="H580" t="s">
        <v>29</v>
      </c>
      <c r="I580" t="s">
        <v>30</v>
      </c>
      <c r="J580" t="s">
        <v>3870</v>
      </c>
      <c r="K580" t="s">
        <v>97</v>
      </c>
      <c r="L580" t="s">
        <v>3871</v>
      </c>
      <c r="M580" t="s">
        <v>99</v>
      </c>
      <c r="N580" t="s">
        <v>3872</v>
      </c>
      <c r="O580" t="s">
        <v>36</v>
      </c>
      <c r="P580" t="s">
        <v>149</v>
      </c>
      <c r="Q580" t="s">
        <v>3873</v>
      </c>
      <c r="R580">
        <v>233.05799999999999</v>
      </c>
      <c r="S580">
        <v>3</v>
      </c>
      <c r="T580">
        <v>0.3</v>
      </c>
      <c r="U580">
        <v>-53.270400000000002</v>
      </c>
      <c r="V580">
        <v>286.32839999999999</v>
      </c>
      <c r="W580">
        <v>163.14059999999998</v>
      </c>
      <c r="X580">
        <v>1.0477479705121811E-2</v>
      </c>
    </row>
    <row r="581" spans="1:24" x14ac:dyDescent="0.3">
      <c r="A581" t="s">
        <v>3874</v>
      </c>
      <c r="B581" t="s">
        <v>3875</v>
      </c>
      <c r="C581" s="1">
        <v>42698</v>
      </c>
      <c r="D581" s="1">
        <v>42703</v>
      </c>
      <c r="E581" t="s">
        <v>26</v>
      </c>
      <c r="F581" t="s">
        <v>3876</v>
      </c>
      <c r="G581" t="s">
        <v>3877</v>
      </c>
      <c r="H581" t="s">
        <v>29</v>
      </c>
      <c r="I581" t="s">
        <v>30</v>
      </c>
      <c r="J581" t="s">
        <v>3878</v>
      </c>
      <c r="K581" t="s">
        <v>560</v>
      </c>
      <c r="L581" t="s">
        <v>3879</v>
      </c>
      <c r="M581" t="s">
        <v>99</v>
      </c>
      <c r="N581" t="s">
        <v>3880</v>
      </c>
      <c r="O581" t="s">
        <v>186</v>
      </c>
      <c r="P581" t="s">
        <v>228</v>
      </c>
      <c r="Q581" t="s">
        <v>3881</v>
      </c>
      <c r="R581">
        <v>111.79</v>
      </c>
      <c r="S581">
        <v>7</v>
      </c>
      <c r="T581">
        <v>0</v>
      </c>
      <c r="U581">
        <v>43.598100000000002</v>
      </c>
      <c r="V581">
        <v>68.191900000000004</v>
      </c>
      <c r="W581">
        <v>111.79</v>
      </c>
      <c r="X581">
        <v>0.10265148793331759</v>
      </c>
    </row>
    <row r="582" spans="1:24" x14ac:dyDescent="0.3">
      <c r="A582" t="s">
        <v>3882</v>
      </c>
      <c r="B582" t="s">
        <v>3883</v>
      </c>
      <c r="C582" s="1">
        <v>43537</v>
      </c>
      <c r="D582" s="1">
        <v>43543</v>
      </c>
      <c r="E582" t="s">
        <v>54</v>
      </c>
      <c r="F582" t="s">
        <v>3884</v>
      </c>
      <c r="G582" t="s">
        <v>3885</v>
      </c>
      <c r="H582" t="s">
        <v>95</v>
      </c>
      <c r="I582" t="s">
        <v>30</v>
      </c>
      <c r="J582" t="s">
        <v>3886</v>
      </c>
      <c r="K582" t="s">
        <v>45</v>
      </c>
      <c r="L582" t="s">
        <v>3887</v>
      </c>
      <c r="M582" t="s">
        <v>47</v>
      </c>
      <c r="N582" t="s">
        <v>3888</v>
      </c>
      <c r="O582" t="s">
        <v>49</v>
      </c>
      <c r="P582" t="s">
        <v>79</v>
      </c>
      <c r="Q582" t="s">
        <v>3889</v>
      </c>
      <c r="R582">
        <v>314.55</v>
      </c>
      <c r="S582">
        <v>3</v>
      </c>
      <c r="T582">
        <v>0</v>
      </c>
      <c r="U582">
        <v>150.98400000000001</v>
      </c>
      <c r="V582">
        <v>163.566</v>
      </c>
      <c r="W582">
        <v>314.55</v>
      </c>
      <c r="X582">
        <v>1.8341220057958255E-2</v>
      </c>
    </row>
    <row r="583" spans="1:24" x14ac:dyDescent="0.3">
      <c r="A583" t="s">
        <v>3890</v>
      </c>
      <c r="B583" t="s">
        <v>3891</v>
      </c>
      <c r="C583" s="1">
        <v>43492</v>
      </c>
      <c r="D583" s="1">
        <v>43495</v>
      </c>
      <c r="E583" t="s">
        <v>26</v>
      </c>
      <c r="F583" t="s">
        <v>3892</v>
      </c>
      <c r="G583" t="s">
        <v>3893</v>
      </c>
      <c r="H583" t="s">
        <v>29</v>
      </c>
      <c r="I583" t="s">
        <v>30</v>
      </c>
      <c r="J583" t="s">
        <v>3425</v>
      </c>
      <c r="K583" t="s">
        <v>476</v>
      </c>
      <c r="L583" t="s">
        <v>3894</v>
      </c>
      <c r="M583" t="s">
        <v>147</v>
      </c>
      <c r="N583" t="s">
        <v>1733</v>
      </c>
      <c r="O583" t="s">
        <v>49</v>
      </c>
      <c r="P583" t="s">
        <v>129</v>
      </c>
      <c r="Q583" t="s">
        <v>1734</v>
      </c>
      <c r="R583">
        <v>14.016</v>
      </c>
      <c r="S583">
        <v>3</v>
      </c>
      <c r="T583">
        <v>0.2</v>
      </c>
      <c r="U583">
        <v>1.752</v>
      </c>
      <c r="V583">
        <v>12.263999999999999</v>
      </c>
      <c r="W583">
        <v>11.212800000000001</v>
      </c>
      <c r="X583">
        <v>0.24461839530332682</v>
      </c>
    </row>
    <row r="584" spans="1:24" x14ac:dyDescent="0.3">
      <c r="A584" t="s">
        <v>3895</v>
      </c>
      <c r="B584" t="s">
        <v>3896</v>
      </c>
      <c r="C584" s="1">
        <v>42583</v>
      </c>
      <c r="D584" s="1">
        <v>42585</v>
      </c>
      <c r="E584" t="s">
        <v>180</v>
      </c>
      <c r="F584" t="s">
        <v>3897</v>
      </c>
      <c r="G584" t="s">
        <v>3898</v>
      </c>
      <c r="H584" t="s">
        <v>29</v>
      </c>
      <c r="I584" t="s">
        <v>30</v>
      </c>
      <c r="J584" t="s">
        <v>126</v>
      </c>
      <c r="K584" t="s">
        <v>45</v>
      </c>
      <c r="L584" t="s">
        <v>343</v>
      </c>
      <c r="M584" t="s">
        <v>47</v>
      </c>
      <c r="N584" t="s">
        <v>3899</v>
      </c>
      <c r="O584" t="s">
        <v>49</v>
      </c>
      <c r="P584" t="s">
        <v>89</v>
      </c>
      <c r="Q584" t="s">
        <v>3900</v>
      </c>
      <c r="R584">
        <v>19.751999999999999</v>
      </c>
      <c r="S584">
        <v>3</v>
      </c>
      <c r="T584">
        <v>0.2</v>
      </c>
      <c r="U584">
        <v>6.9131999999999998</v>
      </c>
      <c r="V584">
        <v>12.838799999999999</v>
      </c>
      <c r="W584">
        <v>15.801600000000001</v>
      </c>
      <c r="X584">
        <v>0.2336666978222264</v>
      </c>
    </row>
    <row r="585" spans="1:24" x14ac:dyDescent="0.3">
      <c r="A585" t="s">
        <v>3901</v>
      </c>
      <c r="B585" t="s">
        <v>3902</v>
      </c>
      <c r="C585" s="1">
        <v>43388</v>
      </c>
      <c r="D585" s="1">
        <v>43394</v>
      </c>
      <c r="E585" t="s">
        <v>54</v>
      </c>
      <c r="F585" t="s">
        <v>3903</v>
      </c>
      <c r="G585" t="s">
        <v>3904</v>
      </c>
      <c r="H585" t="s">
        <v>95</v>
      </c>
      <c r="I585" t="s">
        <v>30</v>
      </c>
      <c r="J585" t="s">
        <v>3905</v>
      </c>
      <c r="K585" t="s">
        <v>118</v>
      </c>
      <c r="L585" t="s">
        <v>3906</v>
      </c>
      <c r="M585" t="s">
        <v>47</v>
      </c>
      <c r="N585" t="s">
        <v>3907</v>
      </c>
      <c r="O585" t="s">
        <v>49</v>
      </c>
      <c r="P585" t="s">
        <v>79</v>
      </c>
      <c r="Q585" t="s">
        <v>3908</v>
      </c>
      <c r="R585">
        <v>45.68</v>
      </c>
      <c r="S585">
        <v>2</v>
      </c>
      <c r="T585">
        <v>0</v>
      </c>
      <c r="U585">
        <v>21.012799999999999</v>
      </c>
      <c r="V585">
        <v>24.667200000000001</v>
      </c>
      <c r="W585">
        <v>45.68</v>
      </c>
      <c r="X585">
        <v>8.1079328014529412E-2</v>
      </c>
    </row>
    <row r="586" spans="1:24" x14ac:dyDescent="0.3">
      <c r="A586" t="s">
        <v>3909</v>
      </c>
      <c r="B586" t="s">
        <v>3910</v>
      </c>
      <c r="C586" s="1">
        <v>43295</v>
      </c>
      <c r="D586" s="1">
        <v>43295</v>
      </c>
      <c r="E586" t="s">
        <v>1152</v>
      </c>
      <c r="F586" t="s">
        <v>3911</v>
      </c>
      <c r="G586" t="s">
        <v>3912</v>
      </c>
      <c r="H586" t="s">
        <v>29</v>
      </c>
      <c r="I586" t="s">
        <v>30</v>
      </c>
      <c r="J586" t="s">
        <v>1469</v>
      </c>
      <c r="K586" t="s">
        <v>335</v>
      </c>
      <c r="L586" t="s">
        <v>3913</v>
      </c>
      <c r="M586" t="s">
        <v>34</v>
      </c>
      <c r="N586" t="s">
        <v>3914</v>
      </c>
      <c r="O586" t="s">
        <v>186</v>
      </c>
      <c r="P586" t="s">
        <v>228</v>
      </c>
      <c r="Q586" t="s">
        <v>3915</v>
      </c>
      <c r="R586">
        <v>29</v>
      </c>
      <c r="S586">
        <v>2</v>
      </c>
      <c r="T586">
        <v>0</v>
      </c>
      <c r="U586">
        <v>7.25</v>
      </c>
      <c r="V586">
        <v>21.75</v>
      </c>
      <c r="W586">
        <v>29</v>
      </c>
      <c r="X586">
        <v>9.1954022988505746E-2</v>
      </c>
    </row>
    <row r="587" spans="1:24" x14ac:dyDescent="0.3">
      <c r="A587" t="s">
        <v>3916</v>
      </c>
      <c r="B587" t="s">
        <v>3917</v>
      </c>
      <c r="C587" s="1">
        <v>42565</v>
      </c>
      <c r="D587" s="1">
        <v>42571</v>
      </c>
      <c r="E587" t="s">
        <v>54</v>
      </c>
      <c r="F587" t="s">
        <v>3918</v>
      </c>
      <c r="G587" t="s">
        <v>3919</v>
      </c>
      <c r="H587" t="s">
        <v>95</v>
      </c>
      <c r="I587" t="s">
        <v>30</v>
      </c>
      <c r="J587" t="s">
        <v>434</v>
      </c>
      <c r="K587" t="s">
        <v>202</v>
      </c>
      <c r="L587" t="s">
        <v>1887</v>
      </c>
      <c r="M587" t="s">
        <v>99</v>
      </c>
      <c r="N587" t="s">
        <v>2151</v>
      </c>
      <c r="O587" t="s">
        <v>49</v>
      </c>
      <c r="P587" t="s">
        <v>89</v>
      </c>
      <c r="Q587" t="s">
        <v>2152</v>
      </c>
      <c r="R587">
        <v>29.931999999999999</v>
      </c>
      <c r="S587">
        <v>7</v>
      </c>
      <c r="T587">
        <v>0.8</v>
      </c>
      <c r="U587">
        <v>-46.394599999999997</v>
      </c>
      <c r="V587">
        <v>76.326599999999999</v>
      </c>
      <c r="W587">
        <v>5.9863999999999988</v>
      </c>
      <c r="X587">
        <v>9.1711146572754448E-2</v>
      </c>
    </row>
    <row r="588" spans="1:24" x14ac:dyDescent="0.3">
      <c r="A588" t="s">
        <v>3920</v>
      </c>
      <c r="B588" t="s">
        <v>3921</v>
      </c>
      <c r="C588" s="1">
        <v>42688</v>
      </c>
      <c r="D588" s="1">
        <v>42690</v>
      </c>
      <c r="E588" t="s">
        <v>26</v>
      </c>
      <c r="F588" t="s">
        <v>3922</v>
      </c>
      <c r="G588" t="s">
        <v>3923</v>
      </c>
      <c r="H588" t="s">
        <v>29</v>
      </c>
      <c r="I588" t="s">
        <v>30</v>
      </c>
      <c r="J588" t="s">
        <v>705</v>
      </c>
      <c r="K588" t="s">
        <v>706</v>
      </c>
      <c r="L588" t="s">
        <v>707</v>
      </c>
      <c r="M588" t="s">
        <v>147</v>
      </c>
      <c r="N588" t="s">
        <v>3924</v>
      </c>
      <c r="O588" t="s">
        <v>186</v>
      </c>
      <c r="P588" t="s">
        <v>187</v>
      </c>
      <c r="Q588" t="s">
        <v>3925</v>
      </c>
      <c r="R588">
        <v>832.93</v>
      </c>
      <c r="S588">
        <v>7</v>
      </c>
      <c r="T588">
        <v>0</v>
      </c>
      <c r="U588">
        <v>233.22040000000001</v>
      </c>
      <c r="V588">
        <v>599.70959999999991</v>
      </c>
      <c r="W588">
        <v>832.93</v>
      </c>
      <c r="X588">
        <v>1.1672316067643409E-2</v>
      </c>
    </row>
    <row r="589" spans="1:24" x14ac:dyDescent="0.3">
      <c r="A589" t="s">
        <v>3926</v>
      </c>
      <c r="B589" t="s">
        <v>3927</v>
      </c>
      <c r="C589" s="1">
        <v>42633</v>
      </c>
      <c r="D589" s="1">
        <v>42638</v>
      </c>
      <c r="E589" t="s">
        <v>54</v>
      </c>
      <c r="F589" t="s">
        <v>3928</v>
      </c>
      <c r="G589" t="s">
        <v>3929</v>
      </c>
      <c r="H589" t="s">
        <v>43</v>
      </c>
      <c r="I589" t="s">
        <v>30</v>
      </c>
      <c r="J589" t="s">
        <v>1359</v>
      </c>
      <c r="K589" t="s">
        <v>58</v>
      </c>
      <c r="L589" t="s">
        <v>1360</v>
      </c>
      <c r="M589" t="s">
        <v>34</v>
      </c>
      <c r="N589" t="s">
        <v>3930</v>
      </c>
      <c r="O589" t="s">
        <v>49</v>
      </c>
      <c r="P589" t="s">
        <v>129</v>
      </c>
      <c r="Q589" t="s">
        <v>3931</v>
      </c>
      <c r="R589">
        <v>2.8159999999999998</v>
      </c>
      <c r="S589">
        <v>2</v>
      </c>
      <c r="T589">
        <v>0.2</v>
      </c>
      <c r="U589">
        <v>0.98560000000000003</v>
      </c>
      <c r="V589">
        <v>1.8303999999999998</v>
      </c>
      <c r="W589">
        <v>2.2528000000000001</v>
      </c>
      <c r="X589">
        <v>1.0926573426573427</v>
      </c>
    </row>
    <row r="590" spans="1:24" x14ac:dyDescent="0.3">
      <c r="A590" t="s">
        <v>3932</v>
      </c>
      <c r="B590" t="s">
        <v>3933</v>
      </c>
      <c r="C590" s="1">
        <v>43674</v>
      </c>
      <c r="D590" s="1">
        <v>43678</v>
      </c>
      <c r="E590" t="s">
        <v>54</v>
      </c>
      <c r="F590" t="s">
        <v>3934</v>
      </c>
      <c r="G590" t="s">
        <v>3935</v>
      </c>
      <c r="H590" t="s">
        <v>43</v>
      </c>
      <c r="I590" t="s">
        <v>30</v>
      </c>
      <c r="J590" t="s">
        <v>126</v>
      </c>
      <c r="K590" t="s">
        <v>45</v>
      </c>
      <c r="L590" t="s">
        <v>957</v>
      </c>
      <c r="M590" t="s">
        <v>47</v>
      </c>
      <c r="N590" t="s">
        <v>2498</v>
      </c>
      <c r="O590" t="s">
        <v>49</v>
      </c>
      <c r="P590" t="s">
        <v>89</v>
      </c>
      <c r="Q590" t="s">
        <v>2499</v>
      </c>
      <c r="R590">
        <v>9.984</v>
      </c>
      <c r="S590">
        <v>4</v>
      </c>
      <c r="T590">
        <v>0.2</v>
      </c>
      <c r="U590">
        <v>3.6192000000000002</v>
      </c>
      <c r="V590">
        <v>6.3647999999999998</v>
      </c>
      <c r="W590">
        <v>7.9872000000000005</v>
      </c>
      <c r="X590">
        <v>0.62845651080945197</v>
      </c>
    </row>
    <row r="591" spans="1:24" x14ac:dyDescent="0.3">
      <c r="A591" t="s">
        <v>3936</v>
      </c>
      <c r="B591" t="s">
        <v>3937</v>
      </c>
      <c r="C591" s="1">
        <v>43075</v>
      </c>
      <c r="D591" s="1">
        <v>43075</v>
      </c>
      <c r="E591" t="s">
        <v>1152</v>
      </c>
      <c r="F591" t="s">
        <v>3938</v>
      </c>
      <c r="G591" t="s">
        <v>3939</v>
      </c>
      <c r="H591" t="s">
        <v>29</v>
      </c>
      <c r="I591" t="s">
        <v>30</v>
      </c>
      <c r="J591" t="s">
        <v>3940</v>
      </c>
      <c r="K591" t="s">
        <v>476</v>
      </c>
      <c r="L591" t="s">
        <v>3941</v>
      </c>
      <c r="M591" t="s">
        <v>147</v>
      </c>
      <c r="N591" t="s">
        <v>3942</v>
      </c>
      <c r="O591" t="s">
        <v>186</v>
      </c>
      <c r="P591" t="s">
        <v>187</v>
      </c>
      <c r="Q591" t="s">
        <v>3943</v>
      </c>
      <c r="R591">
        <v>485.94</v>
      </c>
      <c r="S591">
        <v>2</v>
      </c>
      <c r="T591">
        <v>0.4</v>
      </c>
      <c r="U591">
        <v>-89.088999999999999</v>
      </c>
      <c r="V591">
        <v>575.029</v>
      </c>
      <c r="W591">
        <v>291.56399999999996</v>
      </c>
      <c r="X591">
        <v>3.4780854530814969E-3</v>
      </c>
    </row>
    <row r="592" spans="1:24" x14ac:dyDescent="0.3">
      <c r="A592" t="s">
        <v>3944</v>
      </c>
      <c r="B592" t="s">
        <v>3945</v>
      </c>
      <c r="C592" s="1">
        <v>43178</v>
      </c>
      <c r="D592" s="1">
        <v>43180</v>
      </c>
      <c r="E592" t="s">
        <v>26</v>
      </c>
      <c r="F592" t="s">
        <v>3946</v>
      </c>
      <c r="G592" t="s">
        <v>3947</v>
      </c>
      <c r="H592" t="s">
        <v>29</v>
      </c>
      <c r="I592" t="s">
        <v>30</v>
      </c>
      <c r="J592" t="s">
        <v>3948</v>
      </c>
      <c r="K592" t="s">
        <v>435</v>
      </c>
      <c r="L592" t="s">
        <v>3949</v>
      </c>
      <c r="M592" t="s">
        <v>47</v>
      </c>
      <c r="N592" t="s">
        <v>3950</v>
      </c>
      <c r="O592" t="s">
        <v>36</v>
      </c>
      <c r="P592" t="s">
        <v>37</v>
      </c>
      <c r="Q592" t="s">
        <v>3951</v>
      </c>
      <c r="R592">
        <v>72.293999999999997</v>
      </c>
      <c r="S592">
        <v>1</v>
      </c>
      <c r="T592">
        <v>0.7</v>
      </c>
      <c r="U592">
        <v>-98.8018</v>
      </c>
      <c r="V592">
        <v>171.0958</v>
      </c>
      <c r="W592">
        <v>21.688200000000002</v>
      </c>
      <c r="X592">
        <v>5.844678829053665E-3</v>
      </c>
    </row>
    <row r="593" spans="1:24" x14ac:dyDescent="0.3">
      <c r="A593" t="s">
        <v>3952</v>
      </c>
      <c r="B593" t="s">
        <v>3953</v>
      </c>
      <c r="C593" s="1">
        <v>43642</v>
      </c>
      <c r="D593" s="1">
        <v>43647</v>
      </c>
      <c r="E593" t="s">
        <v>54</v>
      </c>
      <c r="F593" t="s">
        <v>3954</v>
      </c>
      <c r="G593" t="s">
        <v>3955</v>
      </c>
      <c r="H593" t="s">
        <v>29</v>
      </c>
      <c r="I593" t="s">
        <v>30</v>
      </c>
      <c r="J593" t="s">
        <v>2758</v>
      </c>
      <c r="K593" t="s">
        <v>253</v>
      </c>
      <c r="L593" t="s">
        <v>2759</v>
      </c>
      <c r="M593" t="s">
        <v>99</v>
      </c>
      <c r="N593" t="s">
        <v>2633</v>
      </c>
      <c r="O593" t="s">
        <v>36</v>
      </c>
      <c r="P593" t="s">
        <v>69</v>
      </c>
      <c r="Q593" t="s">
        <v>2634</v>
      </c>
      <c r="R593">
        <v>526.45000000000005</v>
      </c>
      <c r="S593">
        <v>5</v>
      </c>
      <c r="T593">
        <v>0</v>
      </c>
      <c r="U593">
        <v>31.587</v>
      </c>
      <c r="V593">
        <v>494.86300000000006</v>
      </c>
      <c r="W593">
        <v>526.45000000000005</v>
      </c>
      <c r="X593">
        <v>1.0103806508063846E-2</v>
      </c>
    </row>
    <row r="594" spans="1:24" x14ac:dyDescent="0.3">
      <c r="A594" t="s">
        <v>3956</v>
      </c>
      <c r="B594" t="s">
        <v>3957</v>
      </c>
      <c r="C594" s="1">
        <v>43419</v>
      </c>
      <c r="D594" s="1">
        <v>43421</v>
      </c>
      <c r="E594" t="s">
        <v>26</v>
      </c>
      <c r="F594" t="s">
        <v>3958</v>
      </c>
      <c r="G594" t="s">
        <v>3959</v>
      </c>
      <c r="H594" t="s">
        <v>29</v>
      </c>
      <c r="I594" t="s">
        <v>30</v>
      </c>
      <c r="J594" t="s">
        <v>44</v>
      </c>
      <c r="K594" t="s">
        <v>45</v>
      </c>
      <c r="L594" t="s">
        <v>161</v>
      </c>
      <c r="M594" t="s">
        <v>47</v>
      </c>
      <c r="N594" t="s">
        <v>3960</v>
      </c>
      <c r="O594" t="s">
        <v>49</v>
      </c>
      <c r="P594" t="s">
        <v>89</v>
      </c>
      <c r="Q594" t="s">
        <v>3961</v>
      </c>
      <c r="R594">
        <v>1016.792</v>
      </c>
      <c r="S594">
        <v>1</v>
      </c>
      <c r="T594">
        <v>0.2</v>
      </c>
      <c r="U594">
        <v>381.29700000000003</v>
      </c>
      <c r="V594">
        <v>635.495</v>
      </c>
      <c r="W594">
        <v>813.43360000000007</v>
      </c>
      <c r="X594">
        <v>1.5735765033556518E-3</v>
      </c>
    </row>
    <row r="595" spans="1:24" x14ac:dyDescent="0.3">
      <c r="A595" t="s">
        <v>3962</v>
      </c>
      <c r="B595" t="s">
        <v>3963</v>
      </c>
      <c r="C595" s="1">
        <v>43790</v>
      </c>
      <c r="D595" s="1">
        <v>43794</v>
      </c>
      <c r="E595" t="s">
        <v>54</v>
      </c>
      <c r="F595" t="s">
        <v>3964</v>
      </c>
      <c r="G595" t="s">
        <v>3965</v>
      </c>
      <c r="H595" t="s">
        <v>95</v>
      </c>
      <c r="I595" t="s">
        <v>30</v>
      </c>
      <c r="J595" t="s">
        <v>568</v>
      </c>
      <c r="K595" t="s">
        <v>45</v>
      </c>
      <c r="L595" t="s">
        <v>569</v>
      </c>
      <c r="M595" t="s">
        <v>47</v>
      </c>
      <c r="N595" t="s">
        <v>373</v>
      </c>
      <c r="O595" t="s">
        <v>49</v>
      </c>
      <c r="P595" t="s">
        <v>111</v>
      </c>
      <c r="Q595" t="s">
        <v>374</v>
      </c>
      <c r="R595">
        <v>56.56</v>
      </c>
      <c r="S595">
        <v>2</v>
      </c>
      <c r="T595">
        <v>0</v>
      </c>
      <c r="U595">
        <v>15.2712</v>
      </c>
      <c r="V595">
        <v>41.288800000000002</v>
      </c>
      <c r="W595">
        <v>56.56</v>
      </c>
      <c r="X595">
        <v>4.8439286198678572E-2</v>
      </c>
    </row>
    <row r="596" spans="1:24" x14ac:dyDescent="0.3">
      <c r="A596" t="s">
        <v>3966</v>
      </c>
      <c r="B596" t="s">
        <v>3967</v>
      </c>
      <c r="C596" s="1">
        <v>42781</v>
      </c>
      <c r="D596" s="1">
        <v>42784</v>
      </c>
      <c r="E596" t="s">
        <v>26</v>
      </c>
      <c r="F596" t="s">
        <v>3968</v>
      </c>
      <c r="G596" t="s">
        <v>3969</v>
      </c>
      <c r="H596" t="s">
        <v>29</v>
      </c>
      <c r="I596" t="s">
        <v>30</v>
      </c>
      <c r="J596" t="s">
        <v>44</v>
      </c>
      <c r="K596" t="s">
        <v>45</v>
      </c>
      <c r="L596" t="s">
        <v>279</v>
      </c>
      <c r="M596" t="s">
        <v>47</v>
      </c>
      <c r="N596" t="s">
        <v>3970</v>
      </c>
      <c r="O596" t="s">
        <v>49</v>
      </c>
      <c r="P596" t="s">
        <v>79</v>
      </c>
      <c r="Q596" t="s">
        <v>3971</v>
      </c>
      <c r="R596">
        <v>13.36</v>
      </c>
      <c r="S596">
        <v>2</v>
      </c>
      <c r="T596">
        <v>0</v>
      </c>
      <c r="U596">
        <v>6.4127999999999998</v>
      </c>
      <c r="V596">
        <v>6.9471999999999996</v>
      </c>
      <c r="W596">
        <v>13.36</v>
      </c>
      <c r="X596">
        <v>0.28788576692768308</v>
      </c>
    </row>
    <row r="597" spans="1:24" x14ac:dyDescent="0.3">
      <c r="A597" t="s">
        <v>3972</v>
      </c>
      <c r="B597" t="s">
        <v>3973</v>
      </c>
      <c r="C597" s="1">
        <v>43047</v>
      </c>
      <c r="D597" s="1">
        <v>43049</v>
      </c>
      <c r="E597" t="s">
        <v>26</v>
      </c>
      <c r="F597" t="s">
        <v>3974</v>
      </c>
      <c r="G597" t="s">
        <v>3975</v>
      </c>
      <c r="H597" t="s">
        <v>95</v>
      </c>
      <c r="I597" t="s">
        <v>30</v>
      </c>
      <c r="J597" t="s">
        <v>887</v>
      </c>
      <c r="K597" t="s">
        <v>45</v>
      </c>
      <c r="L597" t="s">
        <v>1446</v>
      </c>
      <c r="M597" t="s">
        <v>47</v>
      </c>
      <c r="N597" t="s">
        <v>3976</v>
      </c>
      <c r="O597" t="s">
        <v>49</v>
      </c>
      <c r="P597" t="s">
        <v>265</v>
      </c>
      <c r="Q597" t="s">
        <v>3977</v>
      </c>
      <c r="R597">
        <v>5</v>
      </c>
      <c r="S597">
        <v>1</v>
      </c>
      <c r="T597">
        <v>0</v>
      </c>
      <c r="U597">
        <v>2.4</v>
      </c>
      <c r="V597">
        <v>2.6</v>
      </c>
      <c r="W597">
        <v>5</v>
      </c>
      <c r="X597">
        <v>0.38461538461538458</v>
      </c>
    </row>
    <row r="598" spans="1:24" x14ac:dyDescent="0.3">
      <c r="A598" t="s">
        <v>3978</v>
      </c>
      <c r="B598" t="s">
        <v>3979</v>
      </c>
      <c r="C598" s="1">
        <v>43087</v>
      </c>
      <c r="D598" s="1">
        <v>43087</v>
      </c>
      <c r="E598" t="s">
        <v>1152</v>
      </c>
      <c r="F598" t="s">
        <v>3980</v>
      </c>
      <c r="G598" t="s">
        <v>3981</v>
      </c>
      <c r="H598" t="s">
        <v>29</v>
      </c>
      <c r="I598" t="s">
        <v>30</v>
      </c>
      <c r="J598" t="s">
        <v>261</v>
      </c>
      <c r="K598" t="s">
        <v>262</v>
      </c>
      <c r="L598" t="s">
        <v>459</v>
      </c>
      <c r="M598" t="s">
        <v>147</v>
      </c>
      <c r="N598" t="s">
        <v>1963</v>
      </c>
      <c r="O598" t="s">
        <v>186</v>
      </c>
      <c r="P598" t="s">
        <v>228</v>
      </c>
      <c r="Q598" t="s">
        <v>1964</v>
      </c>
      <c r="R598">
        <v>166.24</v>
      </c>
      <c r="S598">
        <v>1</v>
      </c>
      <c r="T598">
        <v>0</v>
      </c>
      <c r="U598">
        <v>24.936</v>
      </c>
      <c r="V598">
        <v>141.304</v>
      </c>
      <c r="W598">
        <v>166.24</v>
      </c>
      <c r="X598">
        <v>7.0769404970843003E-3</v>
      </c>
    </row>
    <row r="599" spans="1:24" x14ac:dyDescent="0.3">
      <c r="A599" t="s">
        <v>3982</v>
      </c>
      <c r="B599" t="s">
        <v>3983</v>
      </c>
      <c r="C599" s="1">
        <v>43502</v>
      </c>
      <c r="D599" s="1">
        <v>43505</v>
      </c>
      <c r="E599" t="s">
        <v>180</v>
      </c>
      <c r="F599" t="s">
        <v>3984</v>
      </c>
      <c r="G599" t="s">
        <v>3985</v>
      </c>
      <c r="H599" t="s">
        <v>29</v>
      </c>
      <c r="I599" t="s">
        <v>30</v>
      </c>
      <c r="J599" t="s">
        <v>1020</v>
      </c>
      <c r="K599" t="s">
        <v>304</v>
      </c>
      <c r="L599" t="s">
        <v>1021</v>
      </c>
      <c r="M599" t="s">
        <v>34</v>
      </c>
      <c r="N599" t="s">
        <v>1949</v>
      </c>
      <c r="O599" t="s">
        <v>36</v>
      </c>
      <c r="P599" t="s">
        <v>37</v>
      </c>
      <c r="Q599" t="s">
        <v>1950</v>
      </c>
      <c r="R599">
        <v>359.97</v>
      </c>
      <c r="S599">
        <v>3</v>
      </c>
      <c r="T599">
        <v>0</v>
      </c>
      <c r="U599">
        <v>79.193399999999997</v>
      </c>
      <c r="V599">
        <v>280.77660000000003</v>
      </c>
      <c r="W599">
        <v>359.97</v>
      </c>
      <c r="X599">
        <v>1.0684651071349962E-2</v>
      </c>
    </row>
    <row r="600" spans="1:24" x14ac:dyDescent="0.3">
      <c r="A600" t="s">
        <v>3986</v>
      </c>
      <c r="B600" t="s">
        <v>3987</v>
      </c>
      <c r="C600" s="1">
        <v>43750</v>
      </c>
      <c r="D600" s="1">
        <v>43750</v>
      </c>
      <c r="E600" t="s">
        <v>1152</v>
      </c>
      <c r="F600" t="s">
        <v>3988</v>
      </c>
      <c r="G600" t="s">
        <v>3989</v>
      </c>
      <c r="H600" t="s">
        <v>95</v>
      </c>
      <c r="I600" t="s">
        <v>30</v>
      </c>
      <c r="J600" t="s">
        <v>696</v>
      </c>
      <c r="K600" t="s">
        <v>76</v>
      </c>
      <c r="L600" t="s">
        <v>3990</v>
      </c>
      <c r="M600" t="s">
        <v>34</v>
      </c>
      <c r="N600" t="s">
        <v>3991</v>
      </c>
      <c r="O600" t="s">
        <v>49</v>
      </c>
      <c r="P600" t="s">
        <v>79</v>
      </c>
      <c r="Q600" t="s">
        <v>3992</v>
      </c>
      <c r="R600">
        <v>7.968</v>
      </c>
      <c r="S600">
        <v>2</v>
      </c>
      <c r="T600">
        <v>0.2</v>
      </c>
      <c r="U600">
        <v>2.6892</v>
      </c>
      <c r="V600">
        <v>5.2788000000000004</v>
      </c>
      <c r="W600">
        <v>6.3744000000000005</v>
      </c>
      <c r="X600">
        <v>0.37887398651208604</v>
      </c>
    </row>
    <row r="601" spans="1:24" x14ac:dyDescent="0.3">
      <c r="A601" t="s">
        <v>3993</v>
      </c>
      <c r="B601" t="s">
        <v>3994</v>
      </c>
      <c r="C601" s="1">
        <v>43725</v>
      </c>
      <c r="D601" s="1">
        <v>43725</v>
      </c>
      <c r="E601" t="s">
        <v>1152</v>
      </c>
      <c r="F601" t="s">
        <v>3995</v>
      </c>
      <c r="G601" t="s">
        <v>3996</v>
      </c>
      <c r="H601" t="s">
        <v>29</v>
      </c>
      <c r="I601" t="s">
        <v>30</v>
      </c>
      <c r="J601" t="s">
        <v>85</v>
      </c>
      <c r="K601" t="s">
        <v>86</v>
      </c>
      <c r="L601" t="s">
        <v>613</v>
      </c>
      <c r="M601" t="s">
        <v>47</v>
      </c>
      <c r="N601" t="s">
        <v>3997</v>
      </c>
      <c r="O601" t="s">
        <v>49</v>
      </c>
      <c r="P601" t="s">
        <v>79</v>
      </c>
      <c r="Q601" t="s">
        <v>3998</v>
      </c>
      <c r="R601">
        <v>12.96</v>
      </c>
      <c r="S601">
        <v>2</v>
      </c>
      <c r="T601">
        <v>0</v>
      </c>
      <c r="U601">
        <v>6.3503999999999996</v>
      </c>
      <c r="V601">
        <v>6.6096000000000013</v>
      </c>
      <c r="W601">
        <v>12.96</v>
      </c>
      <c r="X601">
        <v>0.30259017187121756</v>
      </c>
    </row>
    <row r="602" spans="1:24" x14ac:dyDescent="0.3">
      <c r="A602" t="s">
        <v>3999</v>
      </c>
      <c r="B602" t="s">
        <v>4000</v>
      </c>
      <c r="C602" s="1">
        <v>43768</v>
      </c>
      <c r="D602" s="1">
        <v>43771</v>
      </c>
      <c r="E602" t="s">
        <v>180</v>
      </c>
      <c r="F602" t="s">
        <v>4001</v>
      </c>
      <c r="G602" t="s">
        <v>4002</v>
      </c>
      <c r="H602" t="s">
        <v>29</v>
      </c>
      <c r="I602" t="s">
        <v>30</v>
      </c>
      <c r="J602" t="s">
        <v>85</v>
      </c>
      <c r="K602" t="s">
        <v>86</v>
      </c>
      <c r="L602" t="s">
        <v>613</v>
      </c>
      <c r="M602" t="s">
        <v>47</v>
      </c>
      <c r="N602" t="s">
        <v>4003</v>
      </c>
      <c r="O602" t="s">
        <v>36</v>
      </c>
      <c r="P602" t="s">
        <v>149</v>
      </c>
      <c r="Q602" t="s">
        <v>4004</v>
      </c>
      <c r="R602">
        <v>97.567999999999998</v>
      </c>
      <c r="S602">
        <v>2</v>
      </c>
      <c r="T602">
        <v>0.2</v>
      </c>
      <c r="U602">
        <v>-6.0979999999999999</v>
      </c>
      <c r="V602">
        <v>103.666</v>
      </c>
      <c r="W602">
        <v>78.054400000000001</v>
      </c>
      <c r="X602">
        <v>1.9292728570601742E-2</v>
      </c>
    </row>
    <row r="603" spans="1:24" x14ac:dyDescent="0.3">
      <c r="A603" t="s">
        <v>4005</v>
      </c>
      <c r="B603" t="s">
        <v>4006</v>
      </c>
      <c r="C603" s="1">
        <v>43225</v>
      </c>
      <c r="D603" s="1">
        <v>43228</v>
      </c>
      <c r="E603" t="s">
        <v>180</v>
      </c>
      <c r="F603" t="s">
        <v>4007</v>
      </c>
      <c r="G603" t="s">
        <v>4008</v>
      </c>
      <c r="H603" t="s">
        <v>43</v>
      </c>
      <c r="I603" t="s">
        <v>30</v>
      </c>
      <c r="J603" t="s">
        <v>1081</v>
      </c>
      <c r="K603" t="s">
        <v>320</v>
      </c>
      <c r="L603" t="s">
        <v>1082</v>
      </c>
      <c r="M603" t="s">
        <v>34</v>
      </c>
      <c r="N603" t="s">
        <v>4009</v>
      </c>
      <c r="O603" t="s">
        <v>49</v>
      </c>
      <c r="P603" t="s">
        <v>79</v>
      </c>
      <c r="Q603" t="s">
        <v>4010</v>
      </c>
      <c r="R603">
        <v>14.352</v>
      </c>
      <c r="S603">
        <v>3</v>
      </c>
      <c r="T603">
        <v>0.2</v>
      </c>
      <c r="U603">
        <v>5.2026000000000003</v>
      </c>
      <c r="V603">
        <v>9.1494</v>
      </c>
      <c r="W603">
        <v>11.4816</v>
      </c>
      <c r="X603">
        <v>0.32789035346580103</v>
      </c>
    </row>
    <row r="604" spans="1:24" x14ac:dyDescent="0.3">
      <c r="A604" t="s">
        <v>4011</v>
      </c>
      <c r="B604" t="s">
        <v>4012</v>
      </c>
      <c r="C604" s="1">
        <v>43473</v>
      </c>
      <c r="D604" s="1">
        <v>43476</v>
      </c>
      <c r="E604" t="s">
        <v>180</v>
      </c>
      <c r="F604" t="s">
        <v>4013</v>
      </c>
      <c r="G604" t="s">
        <v>4014</v>
      </c>
      <c r="H604" t="s">
        <v>43</v>
      </c>
      <c r="I604" t="s">
        <v>30</v>
      </c>
      <c r="J604" t="s">
        <v>85</v>
      </c>
      <c r="K604" t="s">
        <v>86</v>
      </c>
      <c r="L604" t="s">
        <v>613</v>
      </c>
      <c r="M604" t="s">
        <v>47</v>
      </c>
      <c r="N604" t="s">
        <v>4015</v>
      </c>
      <c r="O604" t="s">
        <v>36</v>
      </c>
      <c r="P604" t="s">
        <v>61</v>
      </c>
      <c r="Q604" t="s">
        <v>4016</v>
      </c>
      <c r="R604">
        <v>892.98</v>
      </c>
      <c r="S604">
        <v>2</v>
      </c>
      <c r="T604">
        <v>0</v>
      </c>
      <c r="U604">
        <v>80.368200000000002</v>
      </c>
      <c r="V604">
        <v>812.61180000000002</v>
      </c>
      <c r="W604">
        <v>892.98</v>
      </c>
      <c r="X604">
        <v>2.4611998004459203E-3</v>
      </c>
    </row>
    <row r="605" spans="1:24" x14ac:dyDescent="0.3">
      <c r="A605" t="s">
        <v>4017</v>
      </c>
      <c r="B605" t="s">
        <v>4018</v>
      </c>
      <c r="C605" s="1">
        <v>43774</v>
      </c>
      <c r="D605" s="1">
        <v>43778</v>
      </c>
      <c r="E605" t="s">
        <v>54</v>
      </c>
      <c r="F605" t="s">
        <v>4019</v>
      </c>
      <c r="G605" t="s">
        <v>4020</v>
      </c>
      <c r="H605" t="s">
        <v>29</v>
      </c>
      <c r="I605" t="s">
        <v>30</v>
      </c>
      <c r="J605" t="s">
        <v>261</v>
      </c>
      <c r="K605" t="s">
        <v>262</v>
      </c>
      <c r="L605" t="s">
        <v>312</v>
      </c>
      <c r="M605" t="s">
        <v>147</v>
      </c>
      <c r="N605" t="s">
        <v>1607</v>
      </c>
      <c r="O605" t="s">
        <v>186</v>
      </c>
      <c r="P605" t="s">
        <v>228</v>
      </c>
      <c r="Q605" t="s">
        <v>1608</v>
      </c>
      <c r="R605">
        <v>390.75</v>
      </c>
      <c r="S605">
        <v>5</v>
      </c>
      <c r="T605">
        <v>0</v>
      </c>
      <c r="U605">
        <v>171.93</v>
      </c>
      <c r="V605">
        <v>218.82</v>
      </c>
      <c r="W605">
        <v>390.75</v>
      </c>
      <c r="X605">
        <v>2.2849830911251257E-2</v>
      </c>
    </row>
    <row r="606" spans="1:24" x14ac:dyDescent="0.3">
      <c r="A606" t="s">
        <v>4021</v>
      </c>
      <c r="B606" t="s">
        <v>4022</v>
      </c>
      <c r="C606" s="1">
        <v>43627</v>
      </c>
      <c r="D606" s="1">
        <v>43628</v>
      </c>
      <c r="E606" t="s">
        <v>180</v>
      </c>
      <c r="F606" t="s">
        <v>4023</v>
      </c>
      <c r="G606" t="s">
        <v>4024</v>
      </c>
      <c r="H606" t="s">
        <v>95</v>
      </c>
      <c r="I606" t="s">
        <v>30</v>
      </c>
      <c r="J606" t="s">
        <v>1248</v>
      </c>
      <c r="K606" t="s">
        <v>295</v>
      </c>
      <c r="L606" t="s">
        <v>4025</v>
      </c>
      <c r="M606" t="s">
        <v>47</v>
      </c>
      <c r="N606" t="s">
        <v>4026</v>
      </c>
      <c r="O606" t="s">
        <v>36</v>
      </c>
      <c r="P606" t="s">
        <v>149</v>
      </c>
      <c r="Q606" t="s">
        <v>4027</v>
      </c>
      <c r="R606">
        <v>280.79199999999997</v>
      </c>
      <c r="S606">
        <v>1</v>
      </c>
      <c r="T606">
        <v>0.2</v>
      </c>
      <c r="U606">
        <v>35.098999999999997</v>
      </c>
      <c r="V606">
        <v>245.69299999999998</v>
      </c>
      <c r="W606">
        <v>224.6336</v>
      </c>
      <c r="X606">
        <v>4.0701200278396212E-3</v>
      </c>
    </row>
    <row r="607" spans="1:24" x14ac:dyDescent="0.3">
      <c r="A607" t="s">
        <v>4028</v>
      </c>
      <c r="B607" t="s">
        <v>4029</v>
      </c>
      <c r="C607" s="1">
        <v>43666</v>
      </c>
      <c r="D607" s="1">
        <v>43671</v>
      </c>
      <c r="E607" t="s">
        <v>54</v>
      </c>
      <c r="F607" t="s">
        <v>4030</v>
      </c>
      <c r="G607" t="s">
        <v>4031</v>
      </c>
      <c r="H607" t="s">
        <v>43</v>
      </c>
      <c r="I607" t="s">
        <v>30</v>
      </c>
      <c r="J607" t="s">
        <v>4032</v>
      </c>
      <c r="K607" t="s">
        <v>4033</v>
      </c>
      <c r="L607" t="s">
        <v>4034</v>
      </c>
      <c r="M607" t="s">
        <v>99</v>
      </c>
      <c r="N607" t="s">
        <v>4035</v>
      </c>
      <c r="O607" t="s">
        <v>49</v>
      </c>
      <c r="P607" t="s">
        <v>50</v>
      </c>
      <c r="Q607" t="s">
        <v>4036</v>
      </c>
      <c r="R607">
        <v>14.62</v>
      </c>
      <c r="S607">
        <v>2</v>
      </c>
      <c r="T607">
        <v>0</v>
      </c>
      <c r="U607">
        <v>6.8714000000000004</v>
      </c>
      <c r="V607">
        <v>7.7485999999999988</v>
      </c>
      <c r="W607">
        <v>14.62</v>
      </c>
      <c r="X607">
        <v>0.25811114265802859</v>
      </c>
    </row>
    <row r="608" spans="1:24" x14ac:dyDescent="0.3">
      <c r="A608" t="s">
        <v>4037</v>
      </c>
      <c r="B608" t="s">
        <v>4038</v>
      </c>
      <c r="C608" s="1">
        <v>42993</v>
      </c>
      <c r="D608" s="1">
        <v>42997</v>
      </c>
      <c r="E608" t="s">
        <v>26</v>
      </c>
      <c r="F608" t="s">
        <v>4039</v>
      </c>
      <c r="G608" t="s">
        <v>4040</v>
      </c>
      <c r="H608" t="s">
        <v>43</v>
      </c>
      <c r="I608" t="s">
        <v>30</v>
      </c>
      <c r="J608" t="s">
        <v>261</v>
      </c>
      <c r="K608" t="s">
        <v>262</v>
      </c>
      <c r="L608" t="s">
        <v>459</v>
      </c>
      <c r="M608" t="s">
        <v>147</v>
      </c>
      <c r="N608" t="s">
        <v>3731</v>
      </c>
      <c r="O608" t="s">
        <v>49</v>
      </c>
      <c r="P608" t="s">
        <v>89</v>
      </c>
      <c r="Q608" t="s">
        <v>3732</v>
      </c>
      <c r="R608">
        <v>79.872</v>
      </c>
      <c r="S608">
        <v>3</v>
      </c>
      <c r="T608">
        <v>0.2</v>
      </c>
      <c r="U608">
        <v>29.952000000000002</v>
      </c>
      <c r="V608">
        <v>49.92</v>
      </c>
      <c r="W608">
        <v>63.897600000000004</v>
      </c>
      <c r="X608">
        <v>6.0096153846153841E-2</v>
      </c>
    </row>
    <row r="609" spans="1:24" x14ac:dyDescent="0.3">
      <c r="A609" t="s">
        <v>4041</v>
      </c>
      <c r="B609" t="s">
        <v>4042</v>
      </c>
      <c r="C609" s="1">
        <v>43731</v>
      </c>
      <c r="D609" s="1">
        <v>43734</v>
      </c>
      <c r="E609" t="s">
        <v>180</v>
      </c>
      <c r="F609" t="s">
        <v>4043</v>
      </c>
      <c r="G609" t="s">
        <v>4044</v>
      </c>
      <c r="H609" t="s">
        <v>95</v>
      </c>
      <c r="I609" t="s">
        <v>30</v>
      </c>
      <c r="J609" t="s">
        <v>4045</v>
      </c>
      <c r="K609" t="s">
        <v>435</v>
      </c>
      <c r="L609" t="s">
        <v>4046</v>
      </c>
      <c r="M609" t="s">
        <v>47</v>
      </c>
      <c r="N609" t="s">
        <v>4047</v>
      </c>
      <c r="O609" t="s">
        <v>49</v>
      </c>
      <c r="P609" t="s">
        <v>195</v>
      </c>
      <c r="Q609" t="s">
        <v>4048</v>
      </c>
      <c r="R609">
        <v>14.352</v>
      </c>
      <c r="S609">
        <v>3</v>
      </c>
      <c r="T609">
        <v>0.2</v>
      </c>
      <c r="U609">
        <v>5.2026000000000003</v>
      </c>
      <c r="V609">
        <v>9.1494</v>
      </c>
      <c r="W609">
        <v>11.4816</v>
      </c>
      <c r="X609">
        <v>0.32789035346580103</v>
      </c>
    </row>
    <row r="610" spans="1:24" x14ac:dyDescent="0.3">
      <c r="A610" t="s">
        <v>4049</v>
      </c>
      <c r="B610" t="s">
        <v>4050</v>
      </c>
      <c r="C610" s="1">
        <v>42643</v>
      </c>
      <c r="D610" s="1">
        <v>42647</v>
      </c>
      <c r="E610" t="s">
        <v>54</v>
      </c>
      <c r="F610" t="s">
        <v>4051</v>
      </c>
      <c r="G610" t="s">
        <v>4052</v>
      </c>
      <c r="H610" t="s">
        <v>29</v>
      </c>
      <c r="I610" t="s">
        <v>30</v>
      </c>
      <c r="J610" t="s">
        <v>4053</v>
      </c>
      <c r="K610" t="s">
        <v>320</v>
      </c>
      <c r="L610" t="s">
        <v>4054</v>
      </c>
      <c r="M610" t="s">
        <v>34</v>
      </c>
      <c r="N610" t="s">
        <v>1194</v>
      </c>
      <c r="O610" t="s">
        <v>49</v>
      </c>
      <c r="P610" t="s">
        <v>101</v>
      </c>
      <c r="Q610" t="s">
        <v>1195</v>
      </c>
      <c r="R610">
        <v>69.215999999999994</v>
      </c>
      <c r="S610">
        <v>6</v>
      </c>
      <c r="T610">
        <v>0.2</v>
      </c>
      <c r="U610">
        <v>11.2476</v>
      </c>
      <c r="V610">
        <v>57.968399999999995</v>
      </c>
      <c r="W610">
        <v>55.372799999999998</v>
      </c>
      <c r="X610">
        <v>0.10350466806052953</v>
      </c>
    </row>
    <row r="611" spans="1:24" x14ac:dyDescent="0.3">
      <c r="A611" t="s">
        <v>4055</v>
      </c>
      <c r="B611" t="s">
        <v>4056</v>
      </c>
      <c r="C611" s="1">
        <v>42978</v>
      </c>
      <c r="D611" s="1">
        <v>42980</v>
      </c>
      <c r="E611" t="s">
        <v>180</v>
      </c>
      <c r="F611" t="s">
        <v>4057</v>
      </c>
      <c r="G611" t="s">
        <v>4058</v>
      </c>
      <c r="H611" t="s">
        <v>43</v>
      </c>
      <c r="I611" t="s">
        <v>30</v>
      </c>
      <c r="J611" t="s">
        <v>126</v>
      </c>
      <c r="K611" t="s">
        <v>45</v>
      </c>
      <c r="L611" t="s">
        <v>343</v>
      </c>
      <c r="M611" t="s">
        <v>47</v>
      </c>
      <c r="N611" t="s">
        <v>4059</v>
      </c>
      <c r="O611" t="s">
        <v>36</v>
      </c>
      <c r="P611" t="s">
        <v>37</v>
      </c>
      <c r="Q611" t="s">
        <v>4060</v>
      </c>
      <c r="R611">
        <v>1552.8309999999999</v>
      </c>
      <c r="S611">
        <v>7</v>
      </c>
      <c r="T611">
        <v>0.15</v>
      </c>
      <c r="U611">
        <v>200.9546</v>
      </c>
      <c r="V611">
        <v>1351.8763999999999</v>
      </c>
      <c r="W611">
        <v>1319.90635</v>
      </c>
      <c r="X611">
        <v>5.1779881651902501E-3</v>
      </c>
    </row>
    <row r="612" spans="1:24" x14ac:dyDescent="0.3">
      <c r="A612" t="s">
        <v>4061</v>
      </c>
      <c r="B612" t="s">
        <v>4062</v>
      </c>
      <c r="C612" s="1">
        <v>43549</v>
      </c>
      <c r="D612" s="1">
        <v>43550</v>
      </c>
      <c r="E612" t="s">
        <v>180</v>
      </c>
      <c r="F612" t="s">
        <v>4063</v>
      </c>
      <c r="G612" t="s">
        <v>4064</v>
      </c>
      <c r="H612" t="s">
        <v>29</v>
      </c>
      <c r="I612" t="s">
        <v>30</v>
      </c>
      <c r="J612" t="s">
        <v>2866</v>
      </c>
      <c r="K612" t="s">
        <v>45</v>
      </c>
      <c r="L612" t="s">
        <v>2867</v>
      </c>
      <c r="M612" t="s">
        <v>47</v>
      </c>
      <c r="N612" t="s">
        <v>4065</v>
      </c>
      <c r="O612" t="s">
        <v>49</v>
      </c>
      <c r="P612" t="s">
        <v>101</v>
      </c>
      <c r="Q612" t="s">
        <v>4066</v>
      </c>
      <c r="R612">
        <v>176.04</v>
      </c>
      <c r="S612">
        <v>4</v>
      </c>
      <c r="T612">
        <v>0</v>
      </c>
      <c r="U612">
        <v>45.770400000000002</v>
      </c>
      <c r="V612">
        <v>130.2696</v>
      </c>
      <c r="W612">
        <v>176.04</v>
      </c>
      <c r="X612">
        <v>3.0705552177944816E-2</v>
      </c>
    </row>
    <row r="613" spans="1:24" x14ac:dyDescent="0.3">
      <c r="A613" t="s">
        <v>4067</v>
      </c>
      <c r="B613" t="s">
        <v>4068</v>
      </c>
      <c r="C613" s="1">
        <v>43075</v>
      </c>
      <c r="D613" s="1">
        <v>43079</v>
      </c>
      <c r="E613" t="s">
        <v>54</v>
      </c>
      <c r="F613" t="s">
        <v>4069</v>
      </c>
      <c r="G613" t="s">
        <v>4070</v>
      </c>
      <c r="H613" t="s">
        <v>29</v>
      </c>
      <c r="I613" t="s">
        <v>30</v>
      </c>
      <c r="J613" t="s">
        <v>261</v>
      </c>
      <c r="K613" t="s">
        <v>262</v>
      </c>
      <c r="L613" t="s">
        <v>312</v>
      </c>
      <c r="M613" t="s">
        <v>147</v>
      </c>
      <c r="N613" t="s">
        <v>4071</v>
      </c>
      <c r="O613" t="s">
        <v>49</v>
      </c>
      <c r="P613" t="s">
        <v>79</v>
      </c>
      <c r="Q613" t="s">
        <v>4072</v>
      </c>
      <c r="R613">
        <v>6.48</v>
      </c>
      <c r="S613">
        <v>1</v>
      </c>
      <c r="T613">
        <v>0</v>
      </c>
      <c r="U613">
        <v>3.1103999999999998</v>
      </c>
      <c r="V613">
        <v>3.3696000000000006</v>
      </c>
      <c r="W613">
        <v>6.48</v>
      </c>
      <c r="X613">
        <v>0.29677113010446338</v>
      </c>
    </row>
    <row r="614" spans="1:24" x14ac:dyDescent="0.3">
      <c r="A614" t="s">
        <v>4073</v>
      </c>
      <c r="B614" t="s">
        <v>4074</v>
      </c>
      <c r="C614" s="1">
        <v>43485</v>
      </c>
      <c r="D614" s="1">
        <v>43490</v>
      </c>
      <c r="E614" t="s">
        <v>54</v>
      </c>
      <c r="F614" t="s">
        <v>4075</v>
      </c>
      <c r="G614" t="s">
        <v>4076</v>
      </c>
      <c r="H614" t="s">
        <v>29</v>
      </c>
      <c r="I614" t="s">
        <v>30</v>
      </c>
      <c r="J614" t="s">
        <v>126</v>
      </c>
      <c r="K614" t="s">
        <v>45</v>
      </c>
      <c r="L614" t="s">
        <v>343</v>
      </c>
      <c r="M614" t="s">
        <v>47</v>
      </c>
      <c r="N614" t="s">
        <v>4077</v>
      </c>
      <c r="O614" t="s">
        <v>49</v>
      </c>
      <c r="P614" t="s">
        <v>129</v>
      </c>
      <c r="Q614" t="s">
        <v>4078</v>
      </c>
      <c r="R614">
        <v>24.2</v>
      </c>
      <c r="S614">
        <v>5</v>
      </c>
      <c r="T614">
        <v>0</v>
      </c>
      <c r="U614">
        <v>7.9859999999999998</v>
      </c>
      <c r="V614">
        <v>16.213999999999999</v>
      </c>
      <c r="W614">
        <v>24.2</v>
      </c>
      <c r="X614">
        <v>0.30837547798199089</v>
      </c>
    </row>
    <row r="615" spans="1:24" x14ac:dyDescent="0.3">
      <c r="A615" t="s">
        <v>4079</v>
      </c>
      <c r="B615" t="s">
        <v>4080</v>
      </c>
      <c r="C615" s="1">
        <v>42893</v>
      </c>
      <c r="D615" s="1">
        <v>42895</v>
      </c>
      <c r="E615" t="s">
        <v>26</v>
      </c>
      <c r="F615" t="s">
        <v>4081</v>
      </c>
      <c r="G615" t="s">
        <v>4082</v>
      </c>
      <c r="H615" t="s">
        <v>43</v>
      </c>
      <c r="I615" t="s">
        <v>30</v>
      </c>
      <c r="J615" t="s">
        <v>44</v>
      </c>
      <c r="K615" t="s">
        <v>45</v>
      </c>
      <c r="L615" t="s">
        <v>46</v>
      </c>
      <c r="M615" t="s">
        <v>47</v>
      </c>
      <c r="N615" t="s">
        <v>4083</v>
      </c>
      <c r="O615" t="s">
        <v>49</v>
      </c>
      <c r="P615" t="s">
        <v>89</v>
      </c>
      <c r="Q615" t="s">
        <v>4084</v>
      </c>
      <c r="R615">
        <v>7.52</v>
      </c>
      <c r="S615">
        <v>5</v>
      </c>
      <c r="T615">
        <v>0.2</v>
      </c>
      <c r="U615">
        <v>2.6320000000000001</v>
      </c>
      <c r="V615">
        <v>4.8879999999999999</v>
      </c>
      <c r="W615">
        <v>6.016</v>
      </c>
      <c r="X615">
        <v>1.0229132569558101</v>
      </c>
    </row>
    <row r="616" spans="1:24" x14ac:dyDescent="0.3">
      <c r="A616" t="s">
        <v>4085</v>
      </c>
      <c r="B616" t="s">
        <v>4086</v>
      </c>
      <c r="C616" s="1">
        <v>43750</v>
      </c>
      <c r="D616" s="1">
        <v>43756</v>
      </c>
      <c r="E616" t="s">
        <v>54</v>
      </c>
      <c r="F616" t="s">
        <v>4087</v>
      </c>
      <c r="G616" t="s">
        <v>4088</v>
      </c>
      <c r="H616" t="s">
        <v>43</v>
      </c>
      <c r="I616" t="s">
        <v>30</v>
      </c>
      <c r="J616" t="s">
        <v>4089</v>
      </c>
      <c r="K616" t="s">
        <v>642</v>
      </c>
      <c r="L616" t="s">
        <v>4090</v>
      </c>
      <c r="M616" t="s">
        <v>47</v>
      </c>
      <c r="N616" t="s">
        <v>4091</v>
      </c>
      <c r="O616" t="s">
        <v>186</v>
      </c>
      <c r="P616" t="s">
        <v>228</v>
      </c>
      <c r="Q616" t="s">
        <v>4092</v>
      </c>
      <c r="R616">
        <v>595</v>
      </c>
      <c r="S616">
        <v>5</v>
      </c>
      <c r="T616">
        <v>0</v>
      </c>
      <c r="U616">
        <v>95.2</v>
      </c>
      <c r="V616">
        <v>499.8</v>
      </c>
      <c r="W616">
        <v>595</v>
      </c>
      <c r="X616">
        <v>1.0004001600640256E-2</v>
      </c>
    </row>
    <row r="617" spans="1:24" x14ac:dyDescent="0.3">
      <c r="A617" t="s">
        <v>4093</v>
      </c>
      <c r="B617" t="s">
        <v>4094</v>
      </c>
      <c r="C617" s="1">
        <v>43208</v>
      </c>
      <c r="D617" s="1">
        <v>43213</v>
      </c>
      <c r="E617" t="s">
        <v>54</v>
      </c>
      <c r="F617" t="s">
        <v>4095</v>
      </c>
      <c r="G617" t="s">
        <v>4096</v>
      </c>
      <c r="H617" t="s">
        <v>95</v>
      </c>
      <c r="I617" t="s">
        <v>30</v>
      </c>
      <c r="J617" t="s">
        <v>4097</v>
      </c>
      <c r="K617" t="s">
        <v>202</v>
      </c>
      <c r="L617" t="s">
        <v>4098</v>
      </c>
      <c r="M617" t="s">
        <v>99</v>
      </c>
      <c r="N617" t="s">
        <v>359</v>
      </c>
      <c r="O617" t="s">
        <v>49</v>
      </c>
      <c r="P617" t="s">
        <v>111</v>
      </c>
      <c r="Q617" t="s">
        <v>360</v>
      </c>
      <c r="R617">
        <v>230.376</v>
      </c>
      <c r="S617">
        <v>3</v>
      </c>
      <c r="T617">
        <v>0.2</v>
      </c>
      <c r="U617">
        <v>-48.954900000000002</v>
      </c>
      <c r="V617">
        <v>279.33089999999999</v>
      </c>
      <c r="W617">
        <v>184.30080000000001</v>
      </c>
      <c r="X617">
        <v>1.0739950359949436E-2</v>
      </c>
    </row>
    <row r="618" spans="1:24" x14ac:dyDescent="0.3">
      <c r="A618" t="s">
        <v>4099</v>
      </c>
      <c r="B618" t="s">
        <v>4100</v>
      </c>
      <c r="C618" s="1">
        <v>42454</v>
      </c>
      <c r="D618" s="1">
        <v>42461</v>
      </c>
      <c r="E618" t="s">
        <v>54</v>
      </c>
      <c r="F618" t="s">
        <v>4101</v>
      </c>
      <c r="G618" t="s">
        <v>4102</v>
      </c>
      <c r="H618" t="s">
        <v>29</v>
      </c>
      <c r="I618" t="s">
        <v>30</v>
      </c>
      <c r="J618" t="s">
        <v>261</v>
      </c>
      <c r="K618" t="s">
        <v>262</v>
      </c>
      <c r="L618" t="s">
        <v>312</v>
      </c>
      <c r="M618" t="s">
        <v>147</v>
      </c>
      <c r="N618" t="s">
        <v>4103</v>
      </c>
      <c r="O618" t="s">
        <v>36</v>
      </c>
      <c r="P618" t="s">
        <v>149</v>
      </c>
      <c r="Q618" t="s">
        <v>4104</v>
      </c>
      <c r="R618">
        <v>366.786</v>
      </c>
      <c r="S618">
        <v>7</v>
      </c>
      <c r="T618">
        <v>0.1</v>
      </c>
      <c r="U618">
        <v>65.206400000000002</v>
      </c>
      <c r="V618">
        <v>301.57960000000003</v>
      </c>
      <c r="W618">
        <v>330.10739999999998</v>
      </c>
      <c r="X618">
        <v>2.3211119054471853E-2</v>
      </c>
    </row>
    <row r="619" spans="1:24" x14ac:dyDescent="0.3">
      <c r="A619" t="s">
        <v>4105</v>
      </c>
      <c r="B619" t="s">
        <v>4106</v>
      </c>
      <c r="C619" s="1">
        <v>42692</v>
      </c>
      <c r="D619" s="1">
        <v>42694</v>
      </c>
      <c r="E619" t="s">
        <v>26</v>
      </c>
      <c r="F619" t="s">
        <v>4107</v>
      </c>
      <c r="G619" t="s">
        <v>4108</v>
      </c>
      <c r="H619" t="s">
        <v>29</v>
      </c>
      <c r="I619" t="s">
        <v>30</v>
      </c>
      <c r="J619" t="s">
        <v>2258</v>
      </c>
      <c r="K619" t="s">
        <v>435</v>
      </c>
      <c r="L619" t="s">
        <v>2514</v>
      </c>
      <c r="M619" t="s">
        <v>47</v>
      </c>
      <c r="N619" t="s">
        <v>4109</v>
      </c>
      <c r="O619" t="s">
        <v>36</v>
      </c>
      <c r="P619" t="s">
        <v>61</v>
      </c>
      <c r="Q619" t="s">
        <v>4110</v>
      </c>
      <c r="R619">
        <v>145.97999999999999</v>
      </c>
      <c r="S619">
        <v>2</v>
      </c>
      <c r="T619">
        <v>0.5</v>
      </c>
      <c r="U619">
        <v>-99.266400000000004</v>
      </c>
      <c r="V619">
        <v>245.24639999999999</v>
      </c>
      <c r="W619">
        <v>72.989999999999995</v>
      </c>
      <c r="X619">
        <v>8.1550636421166625E-3</v>
      </c>
    </row>
    <row r="620" spans="1:24" x14ac:dyDescent="0.3">
      <c r="A620" t="s">
        <v>4111</v>
      </c>
      <c r="B620" t="s">
        <v>4112</v>
      </c>
      <c r="C620" s="1">
        <v>42927</v>
      </c>
      <c r="D620" s="1">
        <v>42929</v>
      </c>
      <c r="E620" t="s">
        <v>26</v>
      </c>
      <c r="F620" t="s">
        <v>4113</v>
      </c>
      <c r="G620" t="s">
        <v>4114</v>
      </c>
      <c r="H620" t="s">
        <v>29</v>
      </c>
      <c r="I620" t="s">
        <v>30</v>
      </c>
      <c r="J620" t="s">
        <v>85</v>
      </c>
      <c r="K620" t="s">
        <v>86</v>
      </c>
      <c r="L620" t="s">
        <v>613</v>
      </c>
      <c r="M620" t="s">
        <v>47</v>
      </c>
      <c r="N620" t="s">
        <v>4115</v>
      </c>
      <c r="O620" t="s">
        <v>49</v>
      </c>
      <c r="P620" t="s">
        <v>79</v>
      </c>
      <c r="Q620" t="s">
        <v>4116</v>
      </c>
      <c r="R620">
        <v>29.97</v>
      </c>
      <c r="S620">
        <v>3</v>
      </c>
      <c r="T620">
        <v>0</v>
      </c>
      <c r="U620">
        <v>13.486499999999999</v>
      </c>
      <c r="V620">
        <v>16.483499999999999</v>
      </c>
      <c r="W620">
        <v>29.97</v>
      </c>
      <c r="X620">
        <v>0.182000182000182</v>
      </c>
    </row>
    <row r="621" spans="1:24" x14ac:dyDescent="0.3">
      <c r="A621" t="s">
        <v>4117</v>
      </c>
      <c r="B621" t="s">
        <v>4118</v>
      </c>
      <c r="C621" s="1">
        <v>43122</v>
      </c>
      <c r="D621" s="1">
        <v>43128</v>
      </c>
      <c r="E621" t="s">
        <v>54</v>
      </c>
      <c r="F621" t="s">
        <v>4119</v>
      </c>
      <c r="G621" t="s">
        <v>4120</v>
      </c>
      <c r="H621" t="s">
        <v>29</v>
      </c>
      <c r="I621" t="s">
        <v>30</v>
      </c>
      <c r="J621" t="s">
        <v>1496</v>
      </c>
      <c r="K621" t="s">
        <v>76</v>
      </c>
      <c r="L621" t="s">
        <v>4121</v>
      </c>
      <c r="M621" t="s">
        <v>34</v>
      </c>
      <c r="N621" t="s">
        <v>4122</v>
      </c>
      <c r="O621" t="s">
        <v>36</v>
      </c>
      <c r="P621" t="s">
        <v>69</v>
      </c>
      <c r="Q621" t="s">
        <v>4123</v>
      </c>
      <c r="R621">
        <v>14.272</v>
      </c>
      <c r="S621">
        <v>8</v>
      </c>
      <c r="T621">
        <v>0.2</v>
      </c>
      <c r="U621">
        <v>4.2816000000000001</v>
      </c>
      <c r="V621">
        <v>9.9904000000000011</v>
      </c>
      <c r="W621">
        <v>11.4176</v>
      </c>
      <c r="X621">
        <v>0.80076873798846882</v>
      </c>
    </row>
    <row r="622" spans="1:24" x14ac:dyDescent="0.3">
      <c r="A622" t="s">
        <v>4124</v>
      </c>
      <c r="B622" t="s">
        <v>4125</v>
      </c>
      <c r="C622" s="1">
        <v>43712</v>
      </c>
      <c r="D622" s="1">
        <v>43716</v>
      </c>
      <c r="E622" t="s">
        <v>26</v>
      </c>
      <c r="F622" t="s">
        <v>4126</v>
      </c>
      <c r="G622" t="s">
        <v>4127</v>
      </c>
      <c r="H622" t="s">
        <v>43</v>
      </c>
      <c r="I622" t="s">
        <v>30</v>
      </c>
      <c r="J622" t="s">
        <v>44</v>
      </c>
      <c r="K622" t="s">
        <v>45</v>
      </c>
      <c r="L622" t="s">
        <v>46</v>
      </c>
      <c r="M622" t="s">
        <v>47</v>
      </c>
      <c r="N622" t="s">
        <v>4128</v>
      </c>
      <c r="O622" t="s">
        <v>36</v>
      </c>
      <c r="P622" t="s">
        <v>61</v>
      </c>
      <c r="Q622" t="s">
        <v>4129</v>
      </c>
      <c r="R622">
        <v>1322.3520000000001</v>
      </c>
      <c r="S622">
        <v>3</v>
      </c>
      <c r="T622">
        <v>0.2</v>
      </c>
      <c r="U622">
        <v>-99.176400000000001</v>
      </c>
      <c r="V622">
        <v>1421.5284000000001</v>
      </c>
      <c r="W622">
        <v>1057.8816000000002</v>
      </c>
      <c r="X622">
        <v>2.1104045476685513E-3</v>
      </c>
    </row>
    <row r="623" spans="1:24" x14ac:dyDescent="0.3">
      <c r="A623" t="s">
        <v>4130</v>
      </c>
      <c r="B623" t="s">
        <v>4131</v>
      </c>
      <c r="C623" s="1">
        <v>43017</v>
      </c>
      <c r="D623" s="1">
        <v>43021</v>
      </c>
      <c r="E623" t="s">
        <v>26</v>
      </c>
      <c r="F623" t="s">
        <v>4132</v>
      </c>
      <c r="G623" t="s">
        <v>4133</v>
      </c>
      <c r="H623" t="s">
        <v>29</v>
      </c>
      <c r="I623" t="s">
        <v>30</v>
      </c>
      <c r="J623" t="s">
        <v>261</v>
      </c>
      <c r="K623" t="s">
        <v>262</v>
      </c>
      <c r="L623" t="s">
        <v>263</v>
      </c>
      <c r="M623" t="s">
        <v>147</v>
      </c>
      <c r="N623" t="s">
        <v>4134</v>
      </c>
      <c r="O623" t="s">
        <v>186</v>
      </c>
      <c r="P623" t="s">
        <v>187</v>
      </c>
      <c r="Q623" t="s">
        <v>4135</v>
      </c>
      <c r="R623">
        <v>631.96</v>
      </c>
      <c r="S623">
        <v>4</v>
      </c>
      <c r="T623">
        <v>0</v>
      </c>
      <c r="U623">
        <v>303.3408</v>
      </c>
      <c r="V623">
        <v>328.61920000000003</v>
      </c>
      <c r="W623">
        <v>631.96</v>
      </c>
      <c r="X623">
        <v>1.2172143319684301E-2</v>
      </c>
    </row>
    <row r="624" spans="1:24" x14ac:dyDescent="0.3">
      <c r="A624" t="s">
        <v>4136</v>
      </c>
      <c r="B624" t="s">
        <v>4137</v>
      </c>
      <c r="C624" s="1">
        <v>42693</v>
      </c>
      <c r="D624" s="1">
        <v>42697</v>
      </c>
      <c r="E624" t="s">
        <v>54</v>
      </c>
      <c r="F624" t="s">
        <v>4138</v>
      </c>
      <c r="G624" t="s">
        <v>4139</v>
      </c>
      <c r="H624" t="s">
        <v>29</v>
      </c>
      <c r="I624" t="s">
        <v>30</v>
      </c>
      <c r="J624" t="s">
        <v>4140</v>
      </c>
      <c r="K624" t="s">
        <v>262</v>
      </c>
      <c r="L624" t="s">
        <v>4141</v>
      </c>
      <c r="M624" t="s">
        <v>147</v>
      </c>
      <c r="N624" t="s">
        <v>4142</v>
      </c>
      <c r="O624" t="s">
        <v>186</v>
      </c>
      <c r="P624" t="s">
        <v>187</v>
      </c>
      <c r="Q624" t="s">
        <v>4143</v>
      </c>
      <c r="R624">
        <v>4548.8100000000004</v>
      </c>
      <c r="S624">
        <v>7</v>
      </c>
      <c r="T624">
        <v>0</v>
      </c>
      <c r="U624">
        <v>1228.1786999999999</v>
      </c>
      <c r="V624">
        <v>3320.6313000000005</v>
      </c>
      <c r="W624">
        <v>4548.8100000000004</v>
      </c>
      <c r="X624">
        <v>2.1080328912155949E-3</v>
      </c>
    </row>
    <row r="625" spans="1:24" x14ac:dyDescent="0.3">
      <c r="A625" t="s">
        <v>4144</v>
      </c>
      <c r="B625" t="s">
        <v>4145</v>
      </c>
      <c r="C625" s="1">
        <v>42537</v>
      </c>
      <c r="D625" s="1">
        <v>42543</v>
      </c>
      <c r="E625" t="s">
        <v>54</v>
      </c>
      <c r="F625" t="s">
        <v>4146</v>
      </c>
      <c r="G625" t="s">
        <v>4147</v>
      </c>
      <c r="H625" t="s">
        <v>29</v>
      </c>
      <c r="I625" t="s">
        <v>30</v>
      </c>
      <c r="J625" t="s">
        <v>4148</v>
      </c>
      <c r="K625" t="s">
        <v>253</v>
      </c>
      <c r="L625" t="s">
        <v>4149</v>
      </c>
      <c r="M625" t="s">
        <v>99</v>
      </c>
      <c r="N625" t="s">
        <v>1402</v>
      </c>
      <c r="O625" t="s">
        <v>36</v>
      </c>
      <c r="P625" t="s">
        <v>149</v>
      </c>
      <c r="Q625" t="s">
        <v>1403</v>
      </c>
      <c r="R625">
        <v>647.84</v>
      </c>
      <c r="S625">
        <v>8</v>
      </c>
      <c r="T625">
        <v>0</v>
      </c>
      <c r="U625">
        <v>32.392000000000003</v>
      </c>
      <c r="V625">
        <v>615.44799999999998</v>
      </c>
      <c r="W625">
        <v>647.84</v>
      </c>
      <c r="X625">
        <v>1.2998661137902797E-2</v>
      </c>
    </row>
    <row r="626" spans="1:24" x14ac:dyDescent="0.3">
      <c r="A626" t="s">
        <v>4150</v>
      </c>
      <c r="B626" t="s">
        <v>4151</v>
      </c>
      <c r="C626" s="1">
        <v>43633</v>
      </c>
      <c r="D626" s="1">
        <v>43636</v>
      </c>
      <c r="E626" t="s">
        <v>180</v>
      </c>
      <c r="F626" t="s">
        <v>4152</v>
      </c>
      <c r="G626" t="s">
        <v>4153</v>
      </c>
      <c r="H626" t="s">
        <v>43</v>
      </c>
      <c r="I626" t="s">
        <v>30</v>
      </c>
      <c r="J626" t="s">
        <v>3459</v>
      </c>
      <c r="K626" t="s">
        <v>202</v>
      </c>
      <c r="L626" t="s">
        <v>3460</v>
      </c>
      <c r="M626" t="s">
        <v>99</v>
      </c>
      <c r="N626" t="s">
        <v>2739</v>
      </c>
      <c r="O626" t="s">
        <v>49</v>
      </c>
      <c r="P626" t="s">
        <v>79</v>
      </c>
      <c r="Q626" t="s">
        <v>2740</v>
      </c>
      <c r="R626">
        <v>12.224</v>
      </c>
      <c r="S626">
        <v>2</v>
      </c>
      <c r="T626">
        <v>0.2</v>
      </c>
      <c r="U626">
        <v>4.4311999999999996</v>
      </c>
      <c r="V626">
        <v>7.7928000000000006</v>
      </c>
      <c r="W626">
        <v>9.7792000000000012</v>
      </c>
      <c r="X626">
        <v>0.25664716148239397</v>
      </c>
    </row>
    <row r="627" spans="1:24" x14ac:dyDescent="0.3">
      <c r="A627" t="s">
        <v>4154</v>
      </c>
      <c r="B627" t="s">
        <v>4155</v>
      </c>
      <c r="C627" s="1">
        <v>43418</v>
      </c>
      <c r="D627" s="1">
        <v>43423</v>
      </c>
      <c r="E627" t="s">
        <v>54</v>
      </c>
      <c r="F627" t="s">
        <v>4156</v>
      </c>
      <c r="G627" t="s">
        <v>4157</v>
      </c>
      <c r="H627" t="s">
        <v>29</v>
      </c>
      <c r="I627" t="s">
        <v>30</v>
      </c>
      <c r="J627" t="s">
        <v>126</v>
      </c>
      <c r="K627" t="s">
        <v>45</v>
      </c>
      <c r="L627" t="s">
        <v>957</v>
      </c>
      <c r="M627" t="s">
        <v>47</v>
      </c>
      <c r="N627" t="s">
        <v>4158</v>
      </c>
      <c r="O627" t="s">
        <v>49</v>
      </c>
      <c r="P627" t="s">
        <v>50</v>
      </c>
      <c r="Q627" t="s">
        <v>4159</v>
      </c>
      <c r="R627">
        <v>7.38</v>
      </c>
      <c r="S627">
        <v>2</v>
      </c>
      <c r="T627">
        <v>0</v>
      </c>
      <c r="U627">
        <v>3.4685999999999999</v>
      </c>
      <c r="V627">
        <v>3.9114</v>
      </c>
      <c r="W627">
        <v>7.38</v>
      </c>
      <c r="X627">
        <v>0.51132586797566093</v>
      </c>
    </row>
    <row r="628" spans="1:24" x14ac:dyDescent="0.3">
      <c r="A628" t="s">
        <v>4160</v>
      </c>
      <c r="B628" t="s">
        <v>4161</v>
      </c>
      <c r="C628" s="1">
        <v>43801</v>
      </c>
      <c r="D628" s="1">
        <v>43805</v>
      </c>
      <c r="E628" t="s">
        <v>54</v>
      </c>
      <c r="F628" t="s">
        <v>4162</v>
      </c>
      <c r="G628" t="s">
        <v>4163</v>
      </c>
      <c r="H628" t="s">
        <v>95</v>
      </c>
      <c r="I628" t="s">
        <v>30</v>
      </c>
      <c r="J628" t="s">
        <v>1655</v>
      </c>
      <c r="K628" t="s">
        <v>58</v>
      </c>
      <c r="L628" t="s">
        <v>1656</v>
      </c>
      <c r="M628" t="s">
        <v>34</v>
      </c>
      <c r="N628" t="s">
        <v>1593</v>
      </c>
      <c r="O628" t="s">
        <v>49</v>
      </c>
      <c r="P628" t="s">
        <v>89</v>
      </c>
      <c r="Q628" t="s">
        <v>1594</v>
      </c>
      <c r="R628">
        <v>45.66</v>
      </c>
      <c r="S628">
        <v>5</v>
      </c>
      <c r="T628">
        <v>0.7</v>
      </c>
      <c r="U628">
        <v>-33.484000000000002</v>
      </c>
      <c r="V628">
        <v>79.144000000000005</v>
      </c>
      <c r="W628">
        <v>13.698</v>
      </c>
      <c r="X628">
        <v>6.3175983018295759E-2</v>
      </c>
    </row>
    <row r="629" spans="1:24" x14ac:dyDescent="0.3">
      <c r="A629" t="s">
        <v>4164</v>
      </c>
      <c r="B629" t="s">
        <v>4165</v>
      </c>
      <c r="C629" s="1">
        <v>42831</v>
      </c>
      <c r="D629" s="1">
        <v>42835</v>
      </c>
      <c r="E629" t="s">
        <v>54</v>
      </c>
      <c r="F629" t="s">
        <v>4166</v>
      </c>
      <c r="G629" t="s">
        <v>4167</v>
      </c>
      <c r="H629" t="s">
        <v>29</v>
      </c>
      <c r="I629" t="s">
        <v>30</v>
      </c>
      <c r="J629" t="s">
        <v>174</v>
      </c>
      <c r="K629" t="s">
        <v>97</v>
      </c>
      <c r="L629" t="s">
        <v>193</v>
      </c>
      <c r="M629" t="s">
        <v>99</v>
      </c>
      <c r="N629" t="s">
        <v>1733</v>
      </c>
      <c r="O629" t="s">
        <v>49</v>
      </c>
      <c r="P629" t="s">
        <v>129</v>
      </c>
      <c r="Q629" t="s">
        <v>1734</v>
      </c>
      <c r="R629">
        <v>42.048000000000002</v>
      </c>
      <c r="S629">
        <v>9</v>
      </c>
      <c r="T629">
        <v>0.2</v>
      </c>
      <c r="U629">
        <v>5.2560000000000002</v>
      </c>
      <c r="V629">
        <v>36.792000000000002</v>
      </c>
      <c r="W629">
        <v>33.638400000000004</v>
      </c>
      <c r="X629">
        <v>0.2446183953033268</v>
      </c>
    </row>
    <row r="630" spans="1:24" x14ac:dyDescent="0.3">
      <c r="A630" t="s">
        <v>4168</v>
      </c>
      <c r="B630" t="s">
        <v>4169</v>
      </c>
      <c r="C630" s="1">
        <v>42984</v>
      </c>
      <c r="D630" s="1">
        <v>42986</v>
      </c>
      <c r="E630" t="s">
        <v>180</v>
      </c>
      <c r="F630" t="s">
        <v>4170</v>
      </c>
      <c r="G630" t="s">
        <v>4171</v>
      </c>
      <c r="H630" t="s">
        <v>43</v>
      </c>
      <c r="I630" t="s">
        <v>30</v>
      </c>
      <c r="J630" t="s">
        <v>4172</v>
      </c>
      <c r="K630" t="s">
        <v>45</v>
      </c>
      <c r="L630" t="s">
        <v>4173</v>
      </c>
      <c r="M630" t="s">
        <v>47</v>
      </c>
      <c r="N630" t="s">
        <v>445</v>
      </c>
      <c r="O630" t="s">
        <v>186</v>
      </c>
      <c r="P630" t="s">
        <v>228</v>
      </c>
      <c r="Q630" t="s">
        <v>446</v>
      </c>
      <c r="R630">
        <v>46.32</v>
      </c>
      <c r="S630">
        <v>4</v>
      </c>
      <c r="T630">
        <v>0</v>
      </c>
      <c r="U630">
        <v>18.064800000000002</v>
      </c>
      <c r="V630">
        <v>28.255199999999999</v>
      </c>
      <c r="W630">
        <v>46.32</v>
      </c>
      <c r="X630">
        <v>0.14156686202893629</v>
      </c>
    </row>
    <row r="631" spans="1:24" x14ac:dyDescent="0.3">
      <c r="A631" t="s">
        <v>4174</v>
      </c>
      <c r="B631" t="s">
        <v>4175</v>
      </c>
      <c r="C631" s="1">
        <v>43220</v>
      </c>
      <c r="D631" s="1">
        <v>43224</v>
      </c>
      <c r="E631" t="s">
        <v>54</v>
      </c>
      <c r="F631" t="s">
        <v>4176</v>
      </c>
      <c r="G631" t="s">
        <v>4177</v>
      </c>
      <c r="H631" t="s">
        <v>43</v>
      </c>
      <c r="I631" t="s">
        <v>30</v>
      </c>
      <c r="J631" t="s">
        <v>590</v>
      </c>
      <c r="K631" t="s">
        <v>295</v>
      </c>
      <c r="L631" t="s">
        <v>591</v>
      </c>
      <c r="M631" t="s">
        <v>47</v>
      </c>
      <c r="N631" t="s">
        <v>4178</v>
      </c>
      <c r="O631" t="s">
        <v>36</v>
      </c>
      <c r="P631" t="s">
        <v>69</v>
      </c>
      <c r="Q631" t="s">
        <v>4179</v>
      </c>
      <c r="R631">
        <v>111.88800000000001</v>
      </c>
      <c r="S631">
        <v>7</v>
      </c>
      <c r="T631">
        <v>0.2</v>
      </c>
      <c r="U631">
        <v>22.377600000000001</v>
      </c>
      <c r="V631">
        <v>89.510400000000004</v>
      </c>
      <c r="W631">
        <v>89.510400000000004</v>
      </c>
      <c r="X631">
        <v>7.8203203203203203E-2</v>
      </c>
    </row>
    <row r="632" spans="1:24" x14ac:dyDescent="0.3">
      <c r="A632" t="s">
        <v>4180</v>
      </c>
      <c r="B632" t="s">
        <v>4181</v>
      </c>
      <c r="C632" s="1">
        <v>42639</v>
      </c>
      <c r="D632" s="1">
        <v>42644</v>
      </c>
      <c r="E632" t="s">
        <v>26</v>
      </c>
      <c r="F632" t="s">
        <v>4182</v>
      </c>
      <c r="G632" t="s">
        <v>4183</v>
      </c>
      <c r="H632" t="s">
        <v>43</v>
      </c>
      <c r="I632" t="s">
        <v>30</v>
      </c>
      <c r="J632" t="s">
        <v>144</v>
      </c>
      <c r="K632" t="s">
        <v>145</v>
      </c>
      <c r="L632" t="s">
        <v>634</v>
      </c>
      <c r="M632" t="s">
        <v>147</v>
      </c>
      <c r="N632" t="s">
        <v>2700</v>
      </c>
      <c r="O632" t="s">
        <v>49</v>
      </c>
      <c r="P632" t="s">
        <v>101</v>
      </c>
      <c r="Q632" t="s">
        <v>2701</v>
      </c>
      <c r="R632">
        <v>143.952</v>
      </c>
      <c r="S632">
        <v>3</v>
      </c>
      <c r="T632">
        <v>0.2</v>
      </c>
      <c r="U632">
        <v>14.395200000000001</v>
      </c>
      <c r="V632">
        <v>129.55680000000001</v>
      </c>
      <c r="W632">
        <v>115.16160000000001</v>
      </c>
      <c r="X632">
        <v>2.3155866770404949E-2</v>
      </c>
    </row>
    <row r="633" spans="1:24" x14ac:dyDescent="0.3">
      <c r="A633" t="s">
        <v>4184</v>
      </c>
      <c r="B633" t="s">
        <v>4185</v>
      </c>
      <c r="C633" s="1">
        <v>43820</v>
      </c>
      <c r="D633" s="1">
        <v>43823</v>
      </c>
      <c r="E633" t="s">
        <v>180</v>
      </c>
      <c r="F633" t="s">
        <v>4186</v>
      </c>
      <c r="G633" t="s">
        <v>4187</v>
      </c>
      <c r="H633" t="s">
        <v>29</v>
      </c>
      <c r="I633" t="s">
        <v>30</v>
      </c>
      <c r="J633" t="s">
        <v>3648</v>
      </c>
      <c r="K633" t="s">
        <v>32</v>
      </c>
      <c r="L633" t="s">
        <v>3649</v>
      </c>
      <c r="M633" t="s">
        <v>34</v>
      </c>
      <c r="N633" t="s">
        <v>4188</v>
      </c>
      <c r="O633" t="s">
        <v>186</v>
      </c>
      <c r="P633" t="s">
        <v>228</v>
      </c>
      <c r="Q633" t="s">
        <v>4189</v>
      </c>
      <c r="R633">
        <v>71</v>
      </c>
      <c r="S633">
        <v>4</v>
      </c>
      <c r="T633">
        <v>0</v>
      </c>
      <c r="U633">
        <v>27.69</v>
      </c>
      <c r="V633">
        <v>43.31</v>
      </c>
      <c r="W633">
        <v>71</v>
      </c>
      <c r="X633">
        <v>9.2357423227891935E-2</v>
      </c>
    </row>
    <row r="634" spans="1:24" x14ac:dyDescent="0.3">
      <c r="A634" t="s">
        <v>4190</v>
      </c>
      <c r="B634" t="s">
        <v>4191</v>
      </c>
      <c r="C634" s="1">
        <v>43324</v>
      </c>
      <c r="D634" s="1">
        <v>43327</v>
      </c>
      <c r="E634" t="s">
        <v>26</v>
      </c>
      <c r="F634" t="s">
        <v>4192</v>
      </c>
      <c r="G634" t="s">
        <v>4193</v>
      </c>
      <c r="H634" t="s">
        <v>29</v>
      </c>
      <c r="I634" t="s">
        <v>30</v>
      </c>
      <c r="J634" t="s">
        <v>4194</v>
      </c>
      <c r="K634" t="s">
        <v>97</v>
      </c>
      <c r="L634" t="s">
        <v>4195</v>
      </c>
      <c r="M634" t="s">
        <v>99</v>
      </c>
      <c r="N634" t="s">
        <v>4196</v>
      </c>
      <c r="O634" t="s">
        <v>186</v>
      </c>
      <c r="P634" t="s">
        <v>228</v>
      </c>
      <c r="Q634" t="s">
        <v>4197</v>
      </c>
      <c r="R634">
        <v>1399.944</v>
      </c>
      <c r="S634">
        <v>7</v>
      </c>
      <c r="T634">
        <v>0.2</v>
      </c>
      <c r="U634">
        <v>52.497900000000001</v>
      </c>
      <c r="V634">
        <v>1347.4460999999999</v>
      </c>
      <c r="W634">
        <v>1119.9552000000001</v>
      </c>
      <c r="X634">
        <v>5.1950129953250079E-3</v>
      </c>
    </row>
    <row r="635" spans="1:24" x14ac:dyDescent="0.3">
      <c r="A635" t="s">
        <v>4198</v>
      </c>
      <c r="B635" t="s">
        <v>4199</v>
      </c>
      <c r="C635" s="1">
        <v>43255</v>
      </c>
      <c r="D635" s="1">
        <v>43255</v>
      </c>
      <c r="E635" t="s">
        <v>1152</v>
      </c>
      <c r="F635" t="s">
        <v>4200</v>
      </c>
      <c r="G635" t="s">
        <v>4201</v>
      </c>
      <c r="H635" t="s">
        <v>29</v>
      </c>
      <c r="I635" t="s">
        <v>30</v>
      </c>
      <c r="J635" t="s">
        <v>261</v>
      </c>
      <c r="K635" t="s">
        <v>262</v>
      </c>
      <c r="L635" t="s">
        <v>459</v>
      </c>
      <c r="M635" t="s">
        <v>147</v>
      </c>
      <c r="N635" t="s">
        <v>2706</v>
      </c>
      <c r="O635" t="s">
        <v>49</v>
      </c>
      <c r="P635" t="s">
        <v>79</v>
      </c>
      <c r="Q635" t="s">
        <v>177</v>
      </c>
      <c r="R635">
        <v>14.94</v>
      </c>
      <c r="S635">
        <v>3</v>
      </c>
      <c r="T635">
        <v>0</v>
      </c>
      <c r="U635">
        <v>7.0217999999999998</v>
      </c>
      <c r="V635">
        <v>7.9181999999999997</v>
      </c>
      <c r="W635">
        <v>14.94</v>
      </c>
      <c r="X635">
        <v>0.37887398651208609</v>
      </c>
    </row>
    <row r="636" spans="1:24" x14ac:dyDescent="0.3">
      <c r="A636" t="s">
        <v>4202</v>
      </c>
      <c r="B636" t="s">
        <v>4203</v>
      </c>
      <c r="C636" s="1">
        <v>42720</v>
      </c>
      <c r="D636" s="1">
        <v>42725</v>
      </c>
      <c r="E636" t="s">
        <v>54</v>
      </c>
      <c r="F636" t="s">
        <v>4204</v>
      </c>
      <c r="G636" t="s">
        <v>4205</v>
      </c>
      <c r="H636" t="s">
        <v>43</v>
      </c>
      <c r="I636" t="s">
        <v>30</v>
      </c>
      <c r="J636" t="s">
        <v>1359</v>
      </c>
      <c r="K636" t="s">
        <v>58</v>
      </c>
      <c r="L636" t="s">
        <v>1360</v>
      </c>
      <c r="M636" t="s">
        <v>34</v>
      </c>
      <c r="N636" t="s">
        <v>4206</v>
      </c>
      <c r="O636" t="s">
        <v>49</v>
      </c>
      <c r="P636" t="s">
        <v>89</v>
      </c>
      <c r="Q636" t="s">
        <v>4207</v>
      </c>
      <c r="R636">
        <v>1.167</v>
      </c>
      <c r="S636">
        <v>1</v>
      </c>
      <c r="T636">
        <v>0.7</v>
      </c>
      <c r="U636">
        <v>-0.85580000000000001</v>
      </c>
      <c r="V636">
        <v>2.0228000000000002</v>
      </c>
      <c r="W636">
        <v>0.35010000000000008</v>
      </c>
      <c r="X636">
        <v>0.49436424757761516</v>
      </c>
    </row>
    <row r="637" spans="1:24" x14ac:dyDescent="0.3">
      <c r="A637" t="s">
        <v>4208</v>
      </c>
      <c r="B637" t="s">
        <v>4209</v>
      </c>
      <c r="C637" s="1">
        <v>43218</v>
      </c>
      <c r="D637" s="1">
        <v>43225</v>
      </c>
      <c r="E637" t="s">
        <v>54</v>
      </c>
      <c r="F637" t="s">
        <v>4210</v>
      </c>
      <c r="G637" t="s">
        <v>4211</v>
      </c>
      <c r="H637" t="s">
        <v>43</v>
      </c>
      <c r="I637" t="s">
        <v>30</v>
      </c>
      <c r="J637" t="s">
        <v>44</v>
      </c>
      <c r="K637" t="s">
        <v>45</v>
      </c>
      <c r="L637" t="s">
        <v>627</v>
      </c>
      <c r="M637" t="s">
        <v>47</v>
      </c>
      <c r="N637" t="s">
        <v>4212</v>
      </c>
      <c r="O637" t="s">
        <v>36</v>
      </c>
      <c r="P637" t="s">
        <v>149</v>
      </c>
      <c r="Q637" t="s">
        <v>4213</v>
      </c>
      <c r="R637">
        <v>41.567999999999998</v>
      </c>
      <c r="S637">
        <v>2</v>
      </c>
      <c r="T637">
        <v>0.2</v>
      </c>
      <c r="U637">
        <v>2.5979999999999999</v>
      </c>
      <c r="V637">
        <v>38.97</v>
      </c>
      <c r="W637">
        <v>33.254399999999997</v>
      </c>
      <c r="X637">
        <v>5.1321529381575574E-2</v>
      </c>
    </row>
    <row r="638" spans="1:24" x14ac:dyDescent="0.3">
      <c r="A638" t="s">
        <v>4214</v>
      </c>
      <c r="B638" t="s">
        <v>4215</v>
      </c>
      <c r="C638" s="1">
        <v>42486</v>
      </c>
      <c r="D638" s="1">
        <v>42493</v>
      </c>
      <c r="E638" t="s">
        <v>54</v>
      </c>
      <c r="F638" t="s">
        <v>4216</v>
      </c>
      <c r="G638" t="s">
        <v>4217</v>
      </c>
      <c r="H638" t="s">
        <v>43</v>
      </c>
      <c r="I638" t="s">
        <v>30</v>
      </c>
      <c r="J638" t="s">
        <v>44</v>
      </c>
      <c r="K638" t="s">
        <v>45</v>
      </c>
      <c r="L638" t="s">
        <v>161</v>
      </c>
      <c r="M638" t="s">
        <v>47</v>
      </c>
      <c r="N638" t="s">
        <v>1314</v>
      </c>
      <c r="O638" t="s">
        <v>36</v>
      </c>
      <c r="P638" t="s">
        <v>149</v>
      </c>
      <c r="Q638" t="s">
        <v>1315</v>
      </c>
      <c r="R638">
        <v>230.28</v>
      </c>
      <c r="S638">
        <v>3</v>
      </c>
      <c r="T638">
        <v>0.2</v>
      </c>
      <c r="U638">
        <v>23.027999999999999</v>
      </c>
      <c r="V638">
        <v>207.25200000000001</v>
      </c>
      <c r="W638">
        <v>184.22400000000002</v>
      </c>
      <c r="X638">
        <v>1.4475131723698685E-2</v>
      </c>
    </row>
    <row r="639" spans="1:24" x14ac:dyDescent="0.3">
      <c r="A639" t="s">
        <v>4218</v>
      </c>
      <c r="B639" t="s">
        <v>4219</v>
      </c>
      <c r="C639" s="1">
        <v>42707</v>
      </c>
      <c r="D639" s="1">
        <v>42710</v>
      </c>
      <c r="E639" t="s">
        <v>26</v>
      </c>
      <c r="F639" t="s">
        <v>4220</v>
      </c>
      <c r="G639" t="s">
        <v>4221</v>
      </c>
      <c r="H639" t="s">
        <v>43</v>
      </c>
      <c r="I639" t="s">
        <v>30</v>
      </c>
      <c r="J639" t="s">
        <v>3878</v>
      </c>
      <c r="K639" t="s">
        <v>560</v>
      </c>
      <c r="L639" t="s">
        <v>3879</v>
      </c>
      <c r="M639" t="s">
        <v>99</v>
      </c>
      <c r="N639" t="s">
        <v>4222</v>
      </c>
      <c r="O639" t="s">
        <v>49</v>
      </c>
      <c r="P639" t="s">
        <v>79</v>
      </c>
      <c r="Q639" t="s">
        <v>4223</v>
      </c>
      <c r="R639">
        <v>25.92</v>
      </c>
      <c r="S639">
        <v>4</v>
      </c>
      <c r="T639">
        <v>0</v>
      </c>
      <c r="U639">
        <v>12.441599999999999</v>
      </c>
      <c r="V639">
        <v>13.478400000000002</v>
      </c>
      <c r="W639">
        <v>25.92</v>
      </c>
      <c r="X639">
        <v>0.29677113010446338</v>
      </c>
    </row>
    <row r="640" spans="1:24" x14ac:dyDescent="0.3">
      <c r="A640" t="s">
        <v>4224</v>
      </c>
      <c r="B640" t="s">
        <v>4225</v>
      </c>
      <c r="C640" s="1">
        <v>43760</v>
      </c>
      <c r="D640" s="1">
        <v>43762</v>
      </c>
      <c r="E640" t="s">
        <v>180</v>
      </c>
      <c r="F640" t="s">
        <v>4226</v>
      </c>
      <c r="G640" t="s">
        <v>4227</v>
      </c>
      <c r="H640" t="s">
        <v>95</v>
      </c>
      <c r="I640" t="s">
        <v>30</v>
      </c>
      <c r="J640" t="s">
        <v>261</v>
      </c>
      <c r="K640" t="s">
        <v>262</v>
      </c>
      <c r="L640" t="s">
        <v>263</v>
      </c>
      <c r="M640" t="s">
        <v>147</v>
      </c>
      <c r="N640" t="s">
        <v>4228</v>
      </c>
      <c r="O640" t="s">
        <v>186</v>
      </c>
      <c r="P640" t="s">
        <v>2096</v>
      </c>
      <c r="Q640" t="s">
        <v>4229</v>
      </c>
      <c r="R640">
        <v>11199.968000000001</v>
      </c>
      <c r="S640">
        <v>4</v>
      </c>
      <c r="T640">
        <v>0.2</v>
      </c>
      <c r="U640">
        <v>3919.9888000000001</v>
      </c>
      <c r="V640">
        <v>7279.9792000000007</v>
      </c>
      <c r="W640">
        <v>8959.974400000001</v>
      </c>
      <c r="X640">
        <v>5.4945211931374744E-4</v>
      </c>
    </row>
    <row r="641" spans="1:24" x14ac:dyDescent="0.3">
      <c r="A641" t="s">
        <v>4230</v>
      </c>
      <c r="B641" t="s">
        <v>4231</v>
      </c>
      <c r="C641" s="1">
        <v>43600</v>
      </c>
      <c r="D641" s="1">
        <v>43605</v>
      </c>
      <c r="E641" t="s">
        <v>54</v>
      </c>
      <c r="F641" t="s">
        <v>4232</v>
      </c>
      <c r="G641" t="s">
        <v>4233</v>
      </c>
      <c r="H641" t="s">
        <v>29</v>
      </c>
      <c r="I641" t="s">
        <v>30</v>
      </c>
      <c r="J641" t="s">
        <v>85</v>
      </c>
      <c r="K641" t="s">
        <v>86</v>
      </c>
      <c r="L641" t="s">
        <v>87</v>
      </c>
      <c r="M641" t="s">
        <v>47</v>
      </c>
      <c r="N641" t="s">
        <v>4234</v>
      </c>
      <c r="O641" t="s">
        <v>36</v>
      </c>
      <c r="P641" t="s">
        <v>69</v>
      </c>
      <c r="Q641" t="s">
        <v>4235</v>
      </c>
      <c r="R641">
        <v>39.96</v>
      </c>
      <c r="S641">
        <v>2</v>
      </c>
      <c r="T641">
        <v>0</v>
      </c>
      <c r="U641">
        <v>17.1828</v>
      </c>
      <c r="V641">
        <v>22.777200000000001</v>
      </c>
      <c r="W641">
        <v>39.96</v>
      </c>
      <c r="X641">
        <v>8.7807105350965003E-2</v>
      </c>
    </row>
    <row r="642" spans="1:24" x14ac:dyDescent="0.3">
      <c r="A642" t="s">
        <v>4236</v>
      </c>
      <c r="B642" t="s">
        <v>4237</v>
      </c>
      <c r="C642" s="1">
        <v>42962</v>
      </c>
      <c r="D642" s="1">
        <v>42966</v>
      </c>
      <c r="E642" t="s">
        <v>54</v>
      </c>
      <c r="F642" t="s">
        <v>4238</v>
      </c>
      <c r="G642" t="s">
        <v>4239</v>
      </c>
      <c r="H642" t="s">
        <v>43</v>
      </c>
      <c r="I642" t="s">
        <v>30</v>
      </c>
      <c r="J642" t="s">
        <v>44</v>
      </c>
      <c r="K642" t="s">
        <v>45</v>
      </c>
      <c r="L642" t="s">
        <v>627</v>
      </c>
      <c r="M642" t="s">
        <v>47</v>
      </c>
      <c r="N642" t="s">
        <v>2553</v>
      </c>
      <c r="O642" t="s">
        <v>49</v>
      </c>
      <c r="P642" t="s">
        <v>111</v>
      </c>
      <c r="Q642" t="s">
        <v>2554</v>
      </c>
      <c r="R642">
        <v>323.10000000000002</v>
      </c>
      <c r="S642">
        <v>2</v>
      </c>
      <c r="T642">
        <v>0</v>
      </c>
      <c r="U642">
        <v>61.389000000000003</v>
      </c>
      <c r="V642">
        <v>261.71100000000001</v>
      </c>
      <c r="W642">
        <v>323.10000000000002</v>
      </c>
      <c r="X642">
        <v>7.6420173397373434E-3</v>
      </c>
    </row>
    <row r="643" spans="1:24" x14ac:dyDescent="0.3">
      <c r="A643" t="s">
        <v>4240</v>
      </c>
      <c r="B643" t="s">
        <v>4241</v>
      </c>
      <c r="C643" s="1">
        <v>43628</v>
      </c>
      <c r="D643" s="1">
        <v>43634</v>
      </c>
      <c r="E643" t="s">
        <v>54</v>
      </c>
      <c r="F643" t="s">
        <v>4242</v>
      </c>
      <c r="G643" t="s">
        <v>4243</v>
      </c>
      <c r="H643" t="s">
        <v>29</v>
      </c>
      <c r="I643" t="s">
        <v>30</v>
      </c>
      <c r="J643" t="s">
        <v>261</v>
      </c>
      <c r="K643" t="s">
        <v>262</v>
      </c>
      <c r="L643" t="s">
        <v>459</v>
      </c>
      <c r="M643" t="s">
        <v>147</v>
      </c>
      <c r="N643" t="s">
        <v>4244</v>
      </c>
      <c r="O643" t="s">
        <v>49</v>
      </c>
      <c r="P643" t="s">
        <v>79</v>
      </c>
      <c r="Q643" t="s">
        <v>4245</v>
      </c>
      <c r="R643">
        <v>19.04</v>
      </c>
      <c r="S643">
        <v>4</v>
      </c>
      <c r="T643">
        <v>0</v>
      </c>
      <c r="U643">
        <v>9.3295999999999992</v>
      </c>
      <c r="V643">
        <v>9.7103999999999999</v>
      </c>
      <c r="W643">
        <v>19.04</v>
      </c>
      <c r="X643">
        <v>0.41192947767342231</v>
      </c>
    </row>
    <row r="644" spans="1:24" x14ac:dyDescent="0.3">
      <c r="A644" t="s">
        <v>4246</v>
      </c>
      <c r="B644" t="s">
        <v>4247</v>
      </c>
      <c r="C644" s="1">
        <v>43569</v>
      </c>
      <c r="D644" s="1">
        <v>43570</v>
      </c>
      <c r="E644" t="s">
        <v>180</v>
      </c>
      <c r="F644" t="s">
        <v>4248</v>
      </c>
      <c r="G644" t="s">
        <v>4249</v>
      </c>
      <c r="H644" t="s">
        <v>95</v>
      </c>
      <c r="I644" t="s">
        <v>30</v>
      </c>
      <c r="J644" t="s">
        <v>303</v>
      </c>
      <c r="K644" t="s">
        <v>560</v>
      </c>
      <c r="L644" t="s">
        <v>4250</v>
      </c>
      <c r="M644" t="s">
        <v>99</v>
      </c>
      <c r="N644" t="s">
        <v>4251</v>
      </c>
      <c r="O644" t="s">
        <v>49</v>
      </c>
      <c r="P644" t="s">
        <v>89</v>
      </c>
      <c r="Q644" t="s">
        <v>4252</v>
      </c>
      <c r="R644">
        <v>8.76</v>
      </c>
      <c r="S644">
        <v>2</v>
      </c>
      <c r="T644">
        <v>0</v>
      </c>
      <c r="U644">
        <v>4.2047999999999996</v>
      </c>
      <c r="V644">
        <v>4.5552000000000001</v>
      </c>
      <c r="W644">
        <v>8.76</v>
      </c>
      <c r="X644">
        <v>0.4390586582367404</v>
      </c>
    </row>
    <row r="645" spans="1:24" x14ac:dyDescent="0.3">
      <c r="A645" t="s">
        <v>4253</v>
      </c>
      <c r="B645" t="s">
        <v>4254</v>
      </c>
      <c r="C645" s="1">
        <v>43374</v>
      </c>
      <c r="D645" s="1">
        <v>43374</v>
      </c>
      <c r="E645" t="s">
        <v>1152</v>
      </c>
      <c r="F645" t="s">
        <v>4255</v>
      </c>
      <c r="G645" t="s">
        <v>4256</v>
      </c>
      <c r="H645" t="s">
        <v>29</v>
      </c>
      <c r="I645" t="s">
        <v>30</v>
      </c>
      <c r="J645" t="s">
        <v>4257</v>
      </c>
      <c r="K645" t="s">
        <v>97</v>
      </c>
      <c r="L645" t="s">
        <v>4258</v>
      </c>
      <c r="M645" t="s">
        <v>99</v>
      </c>
      <c r="N645" t="s">
        <v>1857</v>
      </c>
      <c r="O645" t="s">
        <v>186</v>
      </c>
      <c r="P645" t="s">
        <v>228</v>
      </c>
      <c r="Q645" t="s">
        <v>1858</v>
      </c>
      <c r="R645">
        <v>79.512</v>
      </c>
      <c r="S645">
        <v>3</v>
      </c>
      <c r="T645">
        <v>0.2</v>
      </c>
      <c r="U645">
        <v>20.8719</v>
      </c>
      <c r="V645">
        <v>58.640100000000004</v>
      </c>
      <c r="W645">
        <v>63.6096</v>
      </c>
      <c r="X645">
        <v>5.1159530764783821E-2</v>
      </c>
    </row>
    <row r="646" spans="1:24" x14ac:dyDescent="0.3">
      <c r="A646" t="s">
        <v>4259</v>
      </c>
      <c r="B646" t="s">
        <v>4260</v>
      </c>
      <c r="C646" s="1">
        <v>42972</v>
      </c>
      <c r="D646" s="1">
        <v>42977</v>
      </c>
      <c r="E646" t="s">
        <v>54</v>
      </c>
      <c r="F646" t="s">
        <v>4261</v>
      </c>
      <c r="G646" t="s">
        <v>4262</v>
      </c>
      <c r="H646" t="s">
        <v>95</v>
      </c>
      <c r="I646" t="s">
        <v>30</v>
      </c>
      <c r="J646" t="s">
        <v>44</v>
      </c>
      <c r="K646" t="s">
        <v>45</v>
      </c>
      <c r="L646" t="s">
        <v>627</v>
      </c>
      <c r="M646" t="s">
        <v>47</v>
      </c>
      <c r="N646" t="s">
        <v>148</v>
      </c>
      <c r="O646" t="s">
        <v>36</v>
      </c>
      <c r="P646" t="s">
        <v>149</v>
      </c>
      <c r="Q646" t="s">
        <v>150</v>
      </c>
      <c r="R646">
        <v>40.783999999999999</v>
      </c>
      <c r="S646">
        <v>1</v>
      </c>
      <c r="T646">
        <v>0.2</v>
      </c>
      <c r="U646">
        <v>4.5881999999999996</v>
      </c>
      <c r="V646">
        <v>36.195799999999998</v>
      </c>
      <c r="W646">
        <v>32.627200000000002</v>
      </c>
      <c r="X646">
        <v>2.7627514794534173E-2</v>
      </c>
    </row>
    <row r="647" spans="1:24" x14ac:dyDescent="0.3">
      <c r="A647" t="s">
        <v>4263</v>
      </c>
      <c r="B647" t="s">
        <v>4264</v>
      </c>
      <c r="C647" s="1">
        <v>42622</v>
      </c>
      <c r="D647" s="1">
        <v>42625</v>
      </c>
      <c r="E647" t="s">
        <v>26</v>
      </c>
      <c r="F647" t="s">
        <v>4265</v>
      </c>
      <c r="G647" t="s">
        <v>4266</v>
      </c>
      <c r="H647" t="s">
        <v>43</v>
      </c>
      <c r="I647" t="s">
        <v>30</v>
      </c>
      <c r="J647" t="s">
        <v>1117</v>
      </c>
      <c r="K647" t="s">
        <v>1118</v>
      </c>
      <c r="L647" t="s">
        <v>1119</v>
      </c>
      <c r="M647" t="s">
        <v>147</v>
      </c>
      <c r="N647" t="s">
        <v>4267</v>
      </c>
      <c r="O647" t="s">
        <v>49</v>
      </c>
      <c r="P647" t="s">
        <v>79</v>
      </c>
      <c r="Q647" t="s">
        <v>4268</v>
      </c>
      <c r="R647">
        <v>166.44</v>
      </c>
      <c r="S647">
        <v>3</v>
      </c>
      <c r="T647">
        <v>0</v>
      </c>
      <c r="U647">
        <v>79.891199999999998</v>
      </c>
      <c r="V647">
        <v>86.5488</v>
      </c>
      <c r="W647">
        <v>166.44</v>
      </c>
      <c r="X647">
        <v>3.4662525650268984E-2</v>
      </c>
    </row>
    <row r="648" spans="1:24" x14ac:dyDescent="0.3">
      <c r="A648" t="s">
        <v>4269</v>
      </c>
      <c r="B648" t="s">
        <v>4270</v>
      </c>
      <c r="C648" s="1">
        <v>43802</v>
      </c>
      <c r="D648" s="1">
        <v>43802</v>
      </c>
      <c r="E648" t="s">
        <v>1152</v>
      </c>
      <c r="F648" t="s">
        <v>4271</v>
      </c>
      <c r="G648" t="s">
        <v>4272</v>
      </c>
      <c r="H648" t="s">
        <v>29</v>
      </c>
      <c r="I648" t="s">
        <v>30</v>
      </c>
      <c r="J648" t="s">
        <v>887</v>
      </c>
      <c r="K648" t="s">
        <v>45</v>
      </c>
      <c r="L648" t="s">
        <v>1446</v>
      </c>
      <c r="M648" t="s">
        <v>47</v>
      </c>
      <c r="N648" t="s">
        <v>4273</v>
      </c>
      <c r="O648" t="s">
        <v>49</v>
      </c>
      <c r="P648" t="s">
        <v>79</v>
      </c>
      <c r="Q648" t="s">
        <v>4274</v>
      </c>
      <c r="R648">
        <v>166.44</v>
      </c>
      <c r="S648">
        <v>3</v>
      </c>
      <c r="T648">
        <v>0</v>
      </c>
      <c r="U648">
        <v>79.891199999999998</v>
      </c>
      <c r="V648">
        <v>86.5488</v>
      </c>
      <c r="W648">
        <v>166.44</v>
      </c>
      <c r="X648">
        <v>3.4662525650268984E-2</v>
      </c>
    </row>
    <row r="649" spans="1:24" x14ac:dyDescent="0.3">
      <c r="A649" t="s">
        <v>4275</v>
      </c>
      <c r="B649" t="s">
        <v>4276</v>
      </c>
      <c r="C649" s="1">
        <v>42542</v>
      </c>
      <c r="D649" s="1">
        <v>42542</v>
      </c>
      <c r="E649" t="s">
        <v>1152</v>
      </c>
      <c r="F649" t="s">
        <v>4277</v>
      </c>
      <c r="G649" t="s">
        <v>4278</v>
      </c>
      <c r="H649" t="s">
        <v>29</v>
      </c>
      <c r="I649" t="s">
        <v>30</v>
      </c>
      <c r="J649" t="s">
        <v>2932</v>
      </c>
      <c r="K649" t="s">
        <v>435</v>
      </c>
      <c r="L649" t="s">
        <v>2933</v>
      </c>
      <c r="M649" t="s">
        <v>47</v>
      </c>
      <c r="N649" t="s">
        <v>4279</v>
      </c>
      <c r="O649" t="s">
        <v>49</v>
      </c>
      <c r="P649" t="s">
        <v>89</v>
      </c>
      <c r="Q649" t="s">
        <v>4280</v>
      </c>
      <c r="R649">
        <v>11.087999999999999</v>
      </c>
      <c r="S649">
        <v>7</v>
      </c>
      <c r="T649">
        <v>0.7</v>
      </c>
      <c r="U649">
        <v>-8.1311999999999998</v>
      </c>
      <c r="V649">
        <v>19.219200000000001</v>
      </c>
      <c r="W649">
        <v>3.3264000000000005</v>
      </c>
      <c r="X649">
        <v>0.36421911421911418</v>
      </c>
    </row>
    <row r="650" spans="1:24" x14ac:dyDescent="0.3">
      <c r="A650" t="s">
        <v>4281</v>
      </c>
      <c r="B650" t="s">
        <v>4282</v>
      </c>
      <c r="C650" s="1">
        <v>43138</v>
      </c>
      <c r="D650" s="1">
        <v>43140</v>
      </c>
      <c r="E650" t="s">
        <v>180</v>
      </c>
      <c r="F650" t="s">
        <v>4283</v>
      </c>
      <c r="G650" t="s">
        <v>4284</v>
      </c>
      <c r="H650" t="s">
        <v>29</v>
      </c>
      <c r="I650" t="s">
        <v>30</v>
      </c>
      <c r="J650" t="s">
        <v>2157</v>
      </c>
      <c r="K650" t="s">
        <v>476</v>
      </c>
      <c r="L650" t="s">
        <v>4285</v>
      </c>
      <c r="M650" t="s">
        <v>147</v>
      </c>
      <c r="N650" t="s">
        <v>4286</v>
      </c>
      <c r="O650" t="s">
        <v>49</v>
      </c>
      <c r="P650" t="s">
        <v>79</v>
      </c>
      <c r="Q650" t="s">
        <v>4287</v>
      </c>
      <c r="R650">
        <v>30.352</v>
      </c>
      <c r="S650">
        <v>2</v>
      </c>
      <c r="T650">
        <v>0.2</v>
      </c>
      <c r="U650">
        <v>10.623200000000001</v>
      </c>
      <c r="V650">
        <v>19.7288</v>
      </c>
      <c r="W650">
        <v>24.281600000000001</v>
      </c>
      <c r="X650">
        <v>0.10137464012002757</v>
      </c>
    </row>
    <row r="651" spans="1:24" x14ac:dyDescent="0.3">
      <c r="A651" t="s">
        <v>4288</v>
      </c>
      <c r="B651" t="s">
        <v>4289</v>
      </c>
      <c r="C651" s="1">
        <v>43703</v>
      </c>
      <c r="D651" s="1">
        <v>43709</v>
      </c>
      <c r="E651" t="s">
        <v>54</v>
      </c>
      <c r="F651" t="s">
        <v>4290</v>
      </c>
      <c r="G651" t="s">
        <v>4291</v>
      </c>
      <c r="H651" t="s">
        <v>95</v>
      </c>
      <c r="I651" t="s">
        <v>30</v>
      </c>
      <c r="J651" t="s">
        <v>475</v>
      </c>
      <c r="K651" t="s">
        <v>1136</v>
      </c>
      <c r="L651" t="s">
        <v>1137</v>
      </c>
      <c r="M651" t="s">
        <v>34</v>
      </c>
      <c r="N651" t="s">
        <v>1294</v>
      </c>
      <c r="O651" t="s">
        <v>186</v>
      </c>
      <c r="P651" t="s">
        <v>228</v>
      </c>
      <c r="Q651" t="s">
        <v>1295</v>
      </c>
      <c r="R651">
        <v>71.98</v>
      </c>
      <c r="S651">
        <v>2</v>
      </c>
      <c r="T651">
        <v>0</v>
      </c>
      <c r="U651">
        <v>15.1158</v>
      </c>
      <c r="V651">
        <v>56.864200000000004</v>
      </c>
      <c r="W651">
        <v>71.98</v>
      </c>
      <c r="X651">
        <v>3.5171513887472257E-2</v>
      </c>
    </row>
    <row r="652" spans="1:24" x14ac:dyDescent="0.3">
      <c r="A652" t="s">
        <v>4292</v>
      </c>
      <c r="B652" t="s">
        <v>4293</v>
      </c>
      <c r="C652" s="1">
        <v>42647</v>
      </c>
      <c r="D652" s="1">
        <v>42651</v>
      </c>
      <c r="E652" t="s">
        <v>54</v>
      </c>
      <c r="F652" t="s">
        <v>4294</v>
      </c>
      <c r="G652" t="s">
        <v>4295</v>
      </c>
      <c r="H652" t="s">
        <v>29</v>
      </c>
      <c r="I652" t="s">
        <v>30</v>
      </c>
      <c r="J652" t="s">
        <v>4296</v>
      </c>
      <c r="K652" t="s">
        <v>45</v>
      </c>
      <c r="L652" t="s">
        <v>4297</v>
      </c>
      <c r="M652" t="s">
        <v>47</v>
      </c>
      <c r="N652" t="s">
        <v>4298</v>
      </c>
      <c r="O652" t="s">
        <v>49</v>
      </c>
      <c r="P652" t="s">
        <v>50</v>
      </c>
      <c r="Q652" t="s">
        <v>4299</v>
      </c>
      <c r="R652">
        <v>14.45</v>
      </c>
      <c r="S652">
        <v>5</v>
      </c>
      <c r="T652">
        <v>0</v>
      </c>
      <c r="U652">
        <v>6.7915000000000001</v>
      </c>
      <c r="V652">
        <v>7.6584999999999992</v>
      </c>
      <c r="W652">
        <v>14.45</v>
      </c>
      <c r="X652">
        <v>0.65286936084089575</v>
      </c>
    </row>
    <row r="653" spans="1:24" x14ac:dyDescent="0.3">
      <c r="A653" t="s">
        <v>4300</v>
      </c>
      <c r="B653" t="s">
        <v>4301</v>
      </c>
      <c r="C653" s="1">
        <v>43509</v>
      </c>
      <c r="D653" s="1">
        <v>43515</v>
      </c>
      <c r="E653" t="s">
        <v>54</v>
      </c>
      <c r="F653" t="s">
        <v>4302</v>
      </c>
      <c r="G653" t="s">
        <v>4303</v>
      </c>
      <c r="H653" t="s">
        <v>29</v>
      </c>
      <c r="I653" t="s">
        <v>30</v>
      </c>
      <c r="J653" t="s">
        <v>85</v>
      </c>
      <c r="K653" t="s">
        <v>86</v>
      </c>
      <c r="L653" t="s">
        <v>606</v>
      </c>
      <c r="M653" t="s">
        <v>47</v>
      </c>
      <c r="N653" t="s">
        <v>607</v>
      </c>
      <c r="O653" t="s">
        <v>49</v>
      </c>
      <c r="P653" t="s">
        <v>129</v>
      </c>
      <c r="Q653" t="s">
        <v>608</v>
      </c>
      <c r="R653">
        <v>6.63</v>
      </c>
      <c r="S653">
        <v>3</v>
      </c>
      <c r="T653">
        <v>0</v>
      </c>
      <c r="U653">
        <v>1.7901</v>
      </c>
      <c r="V653">
        <v>4.8399000000000001</v>
      </c>
      <c r="W653">
        <v>6.63</v>
      </c>
      <c r="X653">
        <v>0.61984751751069234</v>
      </c>
    </row>
    <row r="654" spans="1:24" x14ac:dyDescent="0.3">
      <c r="A654" t="s">
        <v>4304</v>
      </c>
      <c r="B654" t="s">
        <v>4305</v>
      </c>
      <c r="C654" s="1">
        <v>42678</v>
      </c>
      <c r="D654" s="1">
        <v>42682</v>
      </c>
      <c r="E654" t="s">
        <v>54</v>
      </c>
      <c r="F654" t="s">
        <v>4306</v>
      </c>
      <c r="G654" t="s">
        <v>4307</v>
      </c>
      <c r="H654" t="s">
        <v>29</v>
      </c>
      <c r="I654" t="s">
        <v>30</v>
      </c>
      <c r="J654" t="s">
        <v>887</v>
      </c>
      <c r="K654" t="s">
        <v>45</v>
      </c>
      <c r="L654" t="s">
        <v>888</v>
      </c>
      <c r="M654" t="s">
        <v>47</v>
      </c>
      <c r="N654" t="s">
        <v>4308</v>
      </c>
      <c r="O654" t="s">
        <v>36</v>
      </c>
      <c r="P654" t="s">
        <v>69</v>
      </c>
      <c r="Q654" t="s">
        <v>4309</v>
      </c>
      <c r="R654">
        <v>35.340000000000003</v>
      </c>
      <c r="S654">
        <v>2</v>
      </c>
      <c r="T654">
        <v>0</v>
      </c>
      <c r="U654">
        <v>13.4292</v>
      </c>
      <c r="V654">
        <v>21.910800000000002</v>
      </c>
      <c r="W654">
        <v>35.340000000000003</v>
      </c>
      <c r="X654">
        <v>9.1279186519889727E-2</v>
      </c>
    </row>
    <row r="655" spans="1:24" x14ac:dyDescent="0.3">
      <c r="A655" t="s">
        <v>4310</v>
      </c>
      <c r="B655" t="s">
        <v>4311</v>
      </c>
      <c r="C655" s="1">
        <v>43073</v>
      </c>
      <c r="D655" s="1">
        <v>43077</v>
      </c>
      <c r="E655" t="s">
        <v>54</v>
      </c>
      <c r="F655" t="s">
        <v>4312</v>
      </c>
      <c r="G655" t="s">
        <v>4313</v>
      </c>
      <c r="H655" t="s">
        <v>29</v>
      </c>
      <c r="I655" t="s">
        <v>30</v>
      </c>
      <c r="J655" t="s">
        <v>4314</v>
      </c>
      <c r="K655" t="s">
        <v>58</v>
      </c>
      <c r="L655" t="s">
        <v>4315</v>
      </c>
      <c r="M655" t="s">
        <v>34</v>
      </c>
      <c r="N655" t="s">
        <v>4316</v>
      </c>
      <c r="O655" t="s">
        <v>49</v>
      </c>
      <c r="P655" t="s">
        <v>89</v>
      </c>
      <c r="Q655" t="s">
        <v>4317</v>
      </c>
      <c r="R655">
        <v>8.2260000000000009</v>
      </c>
      <c r="S655">
        <v>3</v>
      </c>
      <c r="T655">
        <v>0.7</v>
      </c>
      <c r="U655">
        <v>-6.0324</v>
      </c>
      <c r="V655">
        <v>14.258400000000002</v>
      </c>
      <c r="W655">
        <v>2.4678000000000004</v>
      </c>
      <c r="X655">
        <v>0.21040228917690623</v>
      </c>
    </row>
    <row r="656" spans="1:24" x14ac:dyDescent="0.3">
      <c r="A656" t="s">
        <v>4318</v>
      </c>
      <c r="B656" t="s">
        <v>4319</v>
      </c>
      <c r="C656" s="1">
        <v>42842</v>
      </c>
      <c r="D656" s="1">
        <v>42846</v>
      </c>
      <c r="E656" t="s">
        <v>54</v>
      </c>
      <c r="F656" t="s">
        <v>4320</v>
      </c>
      <c r="G656" t="s">
        <v>4321</v>
      </c>
      <c r="H656" t="s">
        <v>29</v>
      </c>
      <c r="I656" t="s">
        <v>30</v>
      </c>
      <c r="J656" t="s">
        <v>126</v>
      </c>
      <c r="K656" t="s">
        <v>45</v>
      </c>
      <c r="L656" t="s">
        <v>343</v>
      </c>
      <c r="M656" t="s">
        <v>47</v>
      </c>
      <c r="N656" t="s">
        <v>4322</v>
      </c>
      <c r="O656" t="s">
        <v>49</v>
      </c>
      <c r="P656" t="s">
        <v>129</v>
      </c>
      <c r="Q656" t="s">
        <v>4323</v>
      </c>
      <c r="R656">
        <v>5.56</v>
      </c>
      <c r="S656">
        <v>2</v>
      </c>
      <c r="T656">
        <v>0</v>
      </c>
      <c r="U656">
        <v>2.2240000000000002</v>
      </c>
      <c r="V656">
        <v>3.3359999999999994</v>
      </c>
      <c r="W656">
        <v>5.56</v>
      </c>
      <c r="X656">
        <v>0.59952038369304572</v>
      </c>
    </row>
    <row r="657" spans="1:24" x14ac:dyDescent="0.3">
      <c r="A657" t="s">
        <v>4324</v>
      </c>
      <c r="B657" t="s">
        <v>4325</v>
      </c>
      <c r="C657" s="1">
        <v>43170</v>
      </c>
      <c r="D657" s="1">
        <v>43174</v>
      </c>
      <c r="E657" t="s">
        <v>54</v>
      </c>
      <c r="F657" t="s">
        <v>4326</v>
      </c>
      <c r="G657" t="s">
        <v>4327</v>
      </c>
      <c r="H657" t="s">
        <v>95</v>
      </c>
      <c r="I657" t="s">
        <v>30</v>
      </c>
      <c r="J657" t="s">
        <v>475</v>
      </c>
      <c r="K657" t="s">
        <v>1136</v>
      </c>
      <c r="L657" t="s">
        <v>1137</v>
      </c>
      <c r="M657" t="s">
        <v>34</v>
      </c>
      <c r="N657" t="s">
        <v>4328</v>
      </c>
      <c r="O657" t="s">
        <v>36</v>
      </c>
      <c r="P657" t="s">
        <v>69</v>
      </c>
      <c r="Q657" t="s">
        <v>4329</v>
      </c>
      <c r="R657">
        <v>76.92</v>
      </c>
      <c r="S657">
        <v>4</v>
      </c>
      <c r="T657">
        <v>0</v>
      </c>
      <c r="U657">
        <v>31.537199999999999</v>
      </c>
      <c r="V657">
        <v>45.382800000000003</v>
      </c>
      <c r="W657">
        <v>76.92</v>
      </c>
      <c r="X657">
        <v>8.8139118785090384E-2</v>
      </c>
    </row>
    <row r="658" spans="1:24" x14ac:dyDescent="0.3">
      <c r="A658" t="s">
        <v>4330</v>
      </c>
      <c r="B658" t="s">
        <v>4331</v>
      </c>
      <c r="C658" s="1">
        <v>42516</v>
      </c>
      <c r="D658" s="1">
        <v>42519</v>
      </c>
      <c r="E658" t="s">
        <v>180</v>
      </c>
      <c r="F658" t="s">
        <v>4332</v>
      </c>
      <c r="G658" t="s">
        <v>4333</v>
      </c>
      <c r="H658" t="s">
        <v>95</v>
      </c>
      <c r="I658" t="s">
        <v>30</v>
      </c>
      <c r="J658" t="s">
        <v>2979</v>
      </c>
      <c r="K658" t="s">
        <v>118</v>
      </c>
      <c r="L658" t="s">
        <v>4334</v>
      </c>
      <c r="M658" t="s">
        <v>47</v>
      </c>
      <c r="N658" t="s">
        <v>4335</v>
      </c>
      <c r="O658" t="s">
        <v>49</v>
      </c>
      <c r="P658" t="s">
        <v>79</v>
      </c>
      <c r="Q658" t="s">
        <v>4336</v>
      </c>
      <c r="R658">
        <v>48.4</v>
      </c>
      <c r="S658">
        <v>5</v>
      </c>
      <c r="T658">
        <v>0</v>
      </c>
      <c r="U658">
        <v>23.231999999999999</v>
      </c>
      <c r="V658">
        <v>25.167999999999999</v>
      </c>
      <c r="W658">
        <v>48.4</v>
      </c>
      <c r="X658">
        <v>0.19866497139224412</v>
      </c>
    </row>
    <row r="659" spans="1:24" x14ac:dyDescent="0.3">
      <c r="A659" t="s">
        <v>4337</v>
      </c>
      <c r="B659" t="s">
        <v>4338</v>
      </c>
      <c r="C659" s="1">
        <v>42827</v>
      </c>
      <c r="D659" s="1">
        <v>42832</v>
      </c>
      <c r="E659" t="s">
        <v>54</v>
      </c>
      <c r="F659" t="s">
        <v>4339</v>
      </c>
      <c r="G659" t="s">
        <v>4340</v>
      </c>
      <c r="H659" t="s">
        <v>29</v>
      </c>
      <c r="I659" t="s">
        <v>30</v>
      </c>
      <c r="J659" t="s">
        <v>782</v>
      </c>
      <c r="K659" t="s">
        <v>97</v>
      </c>
      <c r="L659" t="s">
        <v>783</v>
      </c>
      <c r="M659" t="s">
        <v>99</v>
      </c>
      <c r="N659" t="s">
        <v>4341</v>
      </c>
      <c r="O659" t="s">
        <v>49</v>
      </c>
      <c r="P659" t="s">
        <v>101</v>
      </c>
      <c r="Q659" t="s">
        <v>4342</v>
      </c>
      <c r="R659">
        <v>32.192</v>
      </c>
      <c r="S659">
        <v>2</v>
      </c>
      <c r="T659">
        <v>0.8</v>
      </c>
      <c r="U659">
        <v>-80.48</v>
      </c>
      <c r="V659">
        <v>112.672</v>
      </c>
      <c r="W659">
        <v>6.4383999999999988</v>
      </c>
      <c r="X659">
        <v>1.7750639023004829E-2</v>
      </c>
    </row>
    <row r="660" spans="1:24" x14ac:dyDescent="0.3">
      <c r="A660" t="s">
        <v>4343</v>
      </c>
      <c r="B660" t="s">
        <v>4344</v>
      </c>
      <c r="C660" s="1">
        <v>43772</v>
      </c>
      <c r="D660" s="1">
        <v>43777</v>
      </c>
      <c r="E660" t="s">
        <v>54</v>
      </c>
      <c r="F660" t="s">
        <v>4345</v>
      </c>
      <c r="G660" t="s">
        <v>4346</v>
      </c>
      <c r="H660" t="s">
        <v>29</v>
      </c>
      <c r="I660" t="s">
        <v>30</v>
      </c>
      <c r="J660" t="s">
        <v>4347</v>
      </c>
      <c r="K660" t="s">
        <v>642</v>
      </c>
      <c r="L660" t="s">
        <v>4348</v>
      </c>
      <c r="M660" t="s">
        <v>47</v>
      </c>
      <c r="N660" t="s">
        <v>402</v>
      </c>
      <c r="O660" t="s">
        <v>36</v>
      </c>
      <c r="P660" t="s">
        <v>69</v>
      </c>
      <c r="Q660" t="s">
        <v>403</v>
      </c>
      <c r="R660">
        <v>41.37</v>
      </c>
      <c r="S660">
        <v>3</v>
      </c>
      <c r="T660">
        <v>0</v>
      </c>
      <c r="U660">
        <v>17.375399999999999</v>
      </c>
      <c r="V660">
        <v>23.994599999999998</v>
      </c>
      <c r="W660">
        <v>41.37</v>
      </c>
      <c r="X660">
        <v>0.12502813132954915</v>
      </c>
    </row>
    <row r="661" spans="1:24" x14ac:dyDescent="0.3">
      <c r="A661" t="s">
        <v>4349</v>
      </c>
      <c r="B661" t="s">
        <v>4350</v>
      </c>
      <c r="C661" s="1">
        <v>42941</v>
      </c>
      <c r="D661" s="1">
        <v>42943</v>
      </c>
      <c r="E661" t="s">
        <v>26</v>
      </c>
      <c r="F661" t="s">
        <v>4351</v>
      </c>
      <c r="G661" t="s">
        <v>4352</v>
      </c>
      <c r="H661" t="s">
        <v>29</v>
      </c>
      <c r="I661" t="s">
        <v>30</v>
      </c>
      <c r="J661" t="s">
        <v>85</v>
      </c>
      <c r="K661" t="s">
        <v>86</v>
      </c>
      <c r="L661" t="s">
        <v>613</v>
      </c>
      <c r="M661" t="s">
        <v>47</v>
      </c>
      <c r="N661" t="s">
        <v>4353</v>
      </c>
      <c r="O661" t="s">
        <v>49</v>
      </c>
      <c r="P661" t="s">
        <v>265</v>
      </c>
      <c r="Q661" t="s">
        <v>4354</v>
      </c>
      <c r="R661">
        <v>9.42</v>
      </c>
      <c r="S661">
        <v>2</v>
      </c>
      <c r="T661">
        <v>0</v>
      </c>
      <c r="U661">
        <v>0.47099999999999997</v>
      </c>
      <c r="V661">
        <v>8.9489999999999998</v>
      </c>
      <c r="W661">
        <v>9.42</v>
      </c>
      <c r="X661">
        <v>0.22348865795060902</v>
      </c>
    </row>
    <row r="662" spans="1:24" x14ac:dyDescent="0.3">
      <c r="A662" t="s">
        <v>4355</v>
      </c>
      <c r="B662" t="s">
        <v>4356</v>
      </c>
      <c r="C662" s="1">
        <v>42979</v>
      </c>
      <c r="D662" s="1">
        <v>42986</v>
      </c>
      <c r="E662" t="s">
        <v>54</v>
      </c>
      <c r="F662" t="s">
        <v>4357</v>
      </c>
      <c r="G662" t="s">
        <v>4358</v>
      </c>
      <c r="H662" t="s">
        <v>95</v>
      </c>
      <c r="I662" t="s">
        <v>30</v>
      </c>
      <c r="J662" t="s">
        <v>582</v>
      </c>
      <c r="K662" t="s">
        <v>1118</v>
      </c>
      <c r="L662" t="s">
        <v>1187</v>
      </c>
      <c r="M662" t="s">
        <v>147</v>
      </c>
      <c r="N662" t="s">
        <v>3171</v>
      </c>
      <c r="O662" t="s">
        <v>49</v>
      </c>
      <c r="P662" t="s">
        <v>89</v>
      </c>
      <c r="Q662" t="s">
        <v>3172</v>
      </c>
      <c r="R662">
        <v>114.6</v>
      </c>
      <c r="S662">
        <v>5</v>
      </c>
      <c r="T662">
        <v>0</v>
      </c>
      <c r="U662">
        <v>51.57</v>
      </c>
      <c r="V662">
        <v>63.029999999999994</v>
      </c>
      <c r="W662">
        <v>114.6</v>
      </c>
      <c r="X662">
        <v>7.9327304458194511E-2</v>
      </c>
    </row>
    <row r="663" spans="1:24" x14ac:dyDescent="0.3">
      <c r="A663" t="s">
        <v>4359</v>
      </c>
      <c r="B663" t="s">
        <v>4360</v>
      </c>
      <c r="C663" s="1">
        <v>43225</v>
      </c>
      <c r="D663" s="1">
        <v>43228</v>
      </c>
      <c r="E663" t="s">
        <v>180</v>
      </c>
      <c r="F663" t="s">
        <v>4361</v>
      </c>
      <c r="G663" t="s">
        <v>4362</v>
      </c>
      <c r="H663" t="s">
        <v>29</v>
      </c>
      <c r="I663" t="s">
        <v>30</v>
      </c>
      <c r="J663" t="s">
        <v>4363</v>
      </c>
      <c r="K663" t="s">
        <v>45</v>
      </c>
      <c r="L663" t="s">
        <v>1446</v>
      </c>
      <c r="M663" t="s">
        <v>47</v>
      </c>
      <c r="N663" t="s">
        <v>4364</v>
      </c>
      <c r="O663" t="s">
        <v>49</v>
      </c>
      <c r="P663" t="s">
        <v>89</v>
      </c>
      <c r="Q663" t="s">
        <v>4365</v>
      </c>
      <c r="R663">
        <v>6.72</v>
      </c>
      <c r="S663">
        <v>5</v>
      </c>
      <c r="T663">
        <v>0.2</v>
      </c>
      <c r="U663">
        <v>2.3519999999999999</v>
      </c>
      <c r="V663">
        <v>4.3680000000000003</v>
      </c>
      <c r="W663">
        <v>5.3760000000000003</v>
      </c>
      <c r="X663">
        <v>1.1446886446886446</v>
      </c>
    </row>
    <row r="664" spans="1:24" x14ac:dyDescent="0.3">
      <c r="A664" t="s">
        <v>4366</v>
      </c>
      <c r="B664" t="s">
        <v>4367</v>
      </c>
      <c r="C664" s="1">
        <v>43491</v>
      </c>
      <c r="D664" s="1">
        <v>43496</v>
      </c>
      <c r="E664" t="s">
        <v>26</v>
      </c>
      <c r="F664" t="s">
        <v>4368</v>
      </c>
      <c r="G664" t="s">
        <v>4369</v>
      </c>
      <c r="H664" t="s">
        <v>43</v>
      </c>
      <c r="I664" t="s">
        <v>30</v>
      </c>
      <c r="J664" t="s">
        <v>4370</v>
      </c>
      <c r="K664" t="s">
        <v>335</v>
      </c>
      <c r="L664" t="s">
        <v>4371</v>
      </c>
      <c r="M664" t="s">
        <v>34</v>
      </c>
      <c r="N664" t="s">
        <v>607</v>
      </c>
      <c r="O664" t="s">
        <v>49</v>
      </c>
      <c r="P664" t="s">
        <v>129</v>
      </c>
      <c r="Q664" t="s">
        <v>608</v>
      </c>
      <c r="R664">
        <v>15.47</v>
      </c>
      <c r="S664">
        <v>7</v>
      </c>
      <c r="T664">
        <v>0</v>
      </c>
      <c r="U664">
        <v>4.1768999999999998</v>
      </c>
      <c r="V664">
        <v>11.293100000000001</v>
      </c>
      <c r="W664">
        <v>15.47</v>
      </c>
      <c r="X664">
        <v>0.61984751751069234</v>
      </c>
    </row>
    <row r="665" spans="1:24" x14ac:dyDescent="0.3">
      <c r="A665" t="s">
        <v>4372</v>
      </c>
      <c r="B665" t="s">
        <v>4373</v>
      </c>
      <c r="C665" s="1">
        <v>43547</v>
      </c>
      <c r="D665" s="1">
        <v>43551</v>
      </c>
      <c r="E665" t="s">
        <v>54</v>
      </c>
      <c r="F665" t="s">
        <v>4374</v>
      </c>
      <c r="G665" t="s">
        <v>4375</v>
      </c>
      <c r="H665" t="s">
        <v>29</v>
      </c>
      <c r="I665" t="s">
        <v>30</v>
      </c>
      <c r="J665" t="s">
        <v>1469</v>
      </c>
      <c r="K665" t="s">
        <v>97</v>
      </c>
      <c r="L665" t="s">
        <v>1470</v>
      </c>
      <c r="M665" t="s">
        <v>99</v>
      </c>
      <c r="N665" t="s">
        <v>1478</v>
      </c>
      <c r="O665" t="s">
        <v>49</v>
      </c>
      <c r="P665" t="s">
        <v>111</v>
      </c>
      <c r="Q665" t="s">
        <v>1479</v>
      </c>
      <c r="R665">
        <v>143.72800000000001</v>
      </c>
      <c r="S665">
        <v>2</v>
      </c>
      <c r="T665">
        <v>0.2</v>
      </c>
      <c r="U665">
        <v>-32.338799999999999</v>
      </c>
      <c r="V665">
        <v>176.0668</v>
      </c>
      <c r="W665">
        <v>114.98240000000001</v>
      </c>
      <c r="X665">
        <v>1.1359324983472183E-2</v>
      </c>
    </row>
    <row r="666" spans="1:24" x14ac:dyDescent="0.3">
      <c r="A666" t="s">
        <v>4376</v>
      </c>
      <c r="B666" t="s">
        <v>4377</v>
      </c>
      <c r="C666" s="1">
        <v>43563</v>
      </c>
      <c r="D666" s="1">
        <v>43570</v>
      </c>
      <c r="E666" t="s">
        <v>54</v>
      </c>
      <c r="F666" t="s">
        <v>4378</v>
      </c>
      <c r="G666" t="s">
        <v>4379</v>
      </c>
      <c r="H666" t="s">
        <v>43</v>
      </c>
      <c r="I666" t="s">
        <v>30</v>
      </c>
      <c r="J666" t="s">
        <v>2751</v>
      </c>
      <c r="K666" t="s">
        <v>1136</v>
      </c>
      <c r="L666" t="s">
        <v>2752</v>
      </c>
      <c r="M666" t="s">
        <v>34</v>
      </c>
      <c r="N666" t="s">
        <v>4380</v>
      </c>
      <c r="O666" t="s">
        <v>36</v>
      </c>
      <c r="P666" t="s">
        <v>69</v>
      </c>
      <c r="Q666" t="s">
        <v>4381</v>
      </c>
      <c r="R666">
        <v>56.28</v>
      </c>
      <c r="S666">
        <v>6</v>
      </c>
      <c r="T666">
        <v>0</v>
      </c>
      <c r="U666">
        <v>15.7584</v>
      </c>
      <c r="V666">
        <v>40.521599999999999</v>
      </c>
      <c r="W666">
        <v>56.28</v>
      </c>
      <c r="X666">
        <v>0.14806917791992419</v>
      </c>
    </row>
    <row r="667" spans="1:24" x14ac:dyDescent="0.3">
      <c r="A667" t="s">
        <v>4382</v>
      </c>
      <c r="B667" t="s">
        <v>4383</v>
      </c>
      <c r="C667" s="1">
        <v>43816</v>
      </c>
      <c r="D667" s="1">
        <v>43821</v>
      </c>
      <c r="E667" t="s">
        <v>54</v>
      </c>
      <c r="F667" t="s">
        <v>4384</v>
      </c>
      <c r="G667" t="s">
        <v>4385</v>
      </c>
      <c r="H667" t="s">
        <v>95</v>
      </c>
      <c r="I667" t="s">
        <v>30</v>
      </c>
      <c r="J667" t="s">
        <v>475</v>
      </c>
      <c r="K667" t="s">
        <v>253</v>
      </c>
      <c r="L667" t="s">
        <v>1380</v>
      </c>
      <c r="M667" t="s">
        <v>99</v>
      </c>
      <c r="N667" t="s">
        <v>2443</v>
      </c>
      <c r="O667" t="s">
        <v>49</v>
      </c>
      <c r="P667" t="s">
        <v>79</v>
      </c>
      <c r="Q667" t="s">
        <v>2444</v>
      </c>
      <c r="R667">
        <v>28.16</v>
      </c>
      <c r="S667">
        <v>4</v>
      </c>
      <c r="T667">
        <v>0</v>
      </c>
      <c r="U667">
        <v>13.235200000000001</v>
      </c>
      <c r="V667">
        <v>14.924799999999999</v>
      </c>
      <c r="W667">
        <v>28.16</v>
      </c>
      <c r="X667">
        <v>0.26801029159519729</v>
      </c>
    </row>
    <row r="668" spans="1:24" x14ac:dyDescent="0.3">
      <c r="A668" t="s">
        <v>4386</v>
      </c>
      <c r="B668" t="s">
        <v>4387</v>
      </c>
      <c r="C668" s="1">
        <v>43327</v>
      </c>
      <c r="D668" s="1">
        <v>43329</v>
      </c>
      <c r="E668" t="s">
        <v>26</v>
      </c>
      <c r="F668" t="s">
        <v>4388</v>
      </c>
      <c r="G668" t="s">
        <v>4389</v>
      </c>
      <c r="H668" t="s">
        <v>29</v>
      </c>
      <c r="I668" t="s">
        <v>30</v>
      </c>
      <c r="J668" t="s">
        <v>1496</v>
      </c>
      <c r="K668" t="s">
        <v>76</v>
      </c>
      <c r="L668" t="s">
        <v>4121</v>
      </c>
      <c r="M668" t="s">
        <v>34</v>
      </c>
      <c r="N668" t="s">
        <v>3650</v>
      </c>
      <c r="O668" t="s">
        <v>36</v>
      </c>
      <c r="P668" t="s">
        <v>149</v>
      </c>
      <c r="Q668" t="s">
        <v>3651</v>
      </c>
      <c r="R668">
        <v>225.29599999999999</v>
      </c>
      <c r="S668">
        <v>2</v>
      </c>
      <c r="T668">
        <v>0.2</v>
      </c>
      <c r="U668">
        <v>22.529599999999999</v>
      </c>
      <c r="V668">
        <v>202.7664</v>
      </c>
      <c r="W668">
        <v>180.23680000000002</v>
      </c>
      <c r="X668">
        <v>9.8635671393288039E-3</v>
      </c>
    </row>
    <row r="669" spans="1:24" x14ac:dyDescent="0.3">
      <c r="A669" t="s">
        <v>4390</v>
      </c>
      <c r="B669" t="s">
        <v>4391</v>
      </c>
      <c r="C669" s="1">
        <v>42451</v>
      </c>
      <c r="D669" s="1">
        <v>42455</v>
      </c>
      <c r="E669" t="s">
        <v>54</v>
      </c>
      <c r="F669" t="s">
        <v>4392</v>
      </c>
      <c r="G669" t="s">
        <v>4393</v>
      </c>
      <c r="H669" t="s">
        <v>43</v>
      </c>
      <c r="I669" t="s">
        <v>30</v>
      </c>
      <c r="J669" t="s">
        <v>1171</v>
      </c>
      <c r="K669" t="s">
        <v>295</v>
      </c>
      <c r="L669" t="s">
        <v>1172</v>
      </c>
      <c r="M669" t="s">
        <v>47</v>
      </c>
      <c r="N669" t="s">
        <v>4394</v>
      </c>
      <c r="O669" t="s">
        <v>49</v>
      </c>
      <c r="P669" t="s">
        <v>79</v>
      </c>
      <c r="Q669" t="s">
        <v>4395</v>
      </c>
      <c r="R669">
        <v>74.352000000000004</v>
      </c>
      <c r="S669">
        <v>3</v>
      </c>
      <c r="T669">
        <v>0.2</v>
      </c>
      <c r="U669">
        <v>23.234999999999999</v>
      </c>
      <c r="V669">
        <v>51.117000000000004</v>
      </c>
      <c r="W669">
        <v>59.481600000000007</v>
      </c>
      <c r="X669">
        <v>5.8688890193086443E-2</v>
      </c>
    </row>
    <row r="670" spans="1:24" x14ac:dyDescent="0.3">
      <c r="A670" t="s">
        <v>4396</v>
      </c>
      <c r="B670" t="s">
        <v>4397</v>
      </c>
      <c r="C670" s="1">
        <v>42489</v>
      </c>
      <c r="D670" s="1">
        <v>42491</v>
      </c>
      <c r="E670" t="s">
        <v>26</v>
      </c>
      <c r="F670" t="s">
        <v>4398</v>
      </c>
      <c r="G670" t="s">
        <v>4399</v>
      </c>
      <c r="H670" t="s">
        <v>29</v>
      </c>
      <c r="I670" t="s">
        <v>30</v>
      </c>
      <c r="J670" t="s">
        <v>4400</v>
      </c>
      <c r="K670" t="s">
        <v>697</v>
      </c>
      <c r="L670" t="s">
        <v>4401</v>
      </c>
      <c r="M670" t="s">
        <v>34</v>
      </c>
      <c r="N670" t="s">
        <v>4212</v>
      </c>
      <c r="O670" t="s">
        <v>36</v>
      </c>
      <c r="P670" t="s">
        <v>149</v>
      </c>
      <c r="Q670" t="s">
        <v>4213</v>
      </c>
      <c r="R670">
        <v>51.96</v>
      </c>
      <c r="S670">
        <v>2</v>
      </c>
      <c r="T670">
        <v>0</v>
      </c>
      <c r="U670">
        <v>12.99</v>
      </c>
      <c r="V670">
        <v>38.97</v>
      </c>
      <c r="W670">
        <v>51.96</v>
      </c>
      <c r="X670">
        <v>5.1321529381575574E-2</v>
      </c>
    </row>
    <row r="671" spans="1:24" x14ac:dyDescent="0.3">
      <c r="A671" t="s">
        <v>4402</v>
      </c>
      <c r="B671" t="s">
        <v>4403</v>
      </c>
      <c r="C671" s="1">
        <v>43656</v>
      </c>
      <c r="D671" s="1">
        <v>43660</v>
      </c>
      <c r="E671" t="s">
        <v>26</v>
      </c>
      <c r="F671" t="s">
        <v>4404</v>
      </c>
      <c r="G671" t="s">
        <v>4405</v>
      </c>
      <c r="H671" t="s">
        <v>29</v>
      </c>
      <c r="I671" t="s">
        <v>30</v>
      </c>
      <c r="J671" t="s">
        <v>475</v>
      </c>
      <c r="K671" t="s">
        <v>1136</v>
      </c>
      <c r="L671" t="s">
        <v>1137</v>
      </c>
      <c r="M671" t="s">
        <v>34</v>
      </c>
      <c r="N671" t="s">
        <v>4406</v>
      </c>
      <c r="O671" t="s">
        <v>36</v>
      </c>
      <c r="P671" t="s">
        <v>69</v>
      </c>
      <c r="Q671" t="s">
        <v>4407</v>
      </c>
      <c r="R671">
        <v>18.84</v>
      </c>
      <c r="S671">
        <v>3</v>
      </c>
      <c r="T671">
        <v>0</v>
      </c>
      <c r="U671">
        <v>7.9127999999999998</v>
      </c>
      <c r="V671">
        <v>10.927199999999999</v>
      </c>
      <c r="W671">
        <v>18.84</v>
      </c>
      <c r="X671">
        <v>0.27454425653415332</v>
      </c>
    </row>
    <row r="672" spans="1:24" x14ac:dyDescent="0.3">
      <c r="A672" t="s">
        <v>4408</v>
      </c>
      <c r="B672" t="s">
        <v>4409</v>
      </c>
      <c r="C672" s="1">
        <v>43781</v>
      </c>
      <c r="D672" s="1">
        <v>43781</v>
      </c>
      <c r="E672" t="s">
        <v>1152</v>
      </c>
      <c r="F672" t="s">
        <v>4410</v>
      </c>
      <c r="G672" t="s">
        <v>4411</v>
      </c>
      <c r="H672" t="s">
        <v>95</v>
      </c>
      <c r="I672" t="s">
        <v>30</v>
      </c>
      <c r="J672" t="s">
        <v>4412</v>
      </c>
      <c r="K672" t="s">
        <v>295</v>
      </c>
      <c r="L672" t="s">
        <v>4413</v>
      </c>
      <c r="M672" t="s">
        <v>47</v>
      </c>
      <c r="N672" t="s">
        <v>813</v>
      </c>
      <c r="O672" t="s">
        <v>186</v>
      </c>
      <c r="P672" t="s">
        <v>228</v>
      </c>
      <c r="Q672" t="s">
        <v>814</v>
      </c>
      <c r="R672">
        <v>41.6</v>
      </c>
      <c r="S672">
        <v>4</v>
      </c>
      <c r="T672">
        <v>0.2</v>
      </c>
      <c r="U672">
        <v>13</v>
      </c>
      <c r="V672">
        <v>28.6</v>
      </c>
      <c r="W672">
        <v>33.28</v>
      </c>
      <c r="X672">
        <v>0.13986013986013984</v>
      </c>
    </row>
    <row r="673" spans="1:24" x14ac:dyDescent="0.3">
      <c r="A673" t="s">
        <v>4414</v>
      </c>
      <c r="B673" t="s">
        <v>4415</v>
      </c>
      <c r="C673" s="1">
        <v>43643</v>
      </c>
      <c r="D673" s="1">
        <v>43650</v>
      </c>
      <c r="E673" t="s">
        <v>54</v>
      </c>
      <c r="F673" t="s">
        <v>4416</v>
      </c>
      <c r="G673" t="s">
        <v>4417</v>
      </c>
      <c r="H673" t="s">
        <v>95</v>
      </c>
      <c r="I673" t="s">
        <v>30</v>
      </c>
      <c r="J673" t="s">
        <v>3714</v>
      </c>
      <c r="K673" t="s">
        <v>262</v>
      </c>
      <c r="L673" t="s">
        <v>3715</v>
      </c>
      <c r="M673" t="s">
        <v>147</v>
      </c>
      <c r="N673" t="s">
        <v>2187</v>
      </c>
      <c r="O673" t="s">
        <v>36</v>
      </c>
      <c r="P673" t="s">
        <v>149</v>
      </c>
      <c r="Q673" t="s">
        <v>2188</v>
      </c>
      <c r="R673">
        <v>191.64599999999999</v>
      </c>
      <c r="S673">
        <v>3</v>
      </c>
      <c r="T673">
        <v>0.1</v>
      </c>
      <c r="U673">
        <v>31.940999999999999</v>
      </c>
      <c r="V673">
        <v>159.70499999999998</v>
      </c>
      <c r="W673">
        <v>172.48139999999998</v>
      </c>
      <c r="X673">
        <v>1.8784634169249557E-2</v>
      </c>
    </row>
    <row r="674" spans="1:24" x14ac:dyDescent="0.3">
      <c r="A674" t="s">
        <v>4418</v>
      </c>
      <c r="B674" t="s">
        <v>4419</v>
      </c>
      <c r="C674" s="1">
        <v>43815</v>
      </c>
      <c r="D674" s="1">
        <v>43820</v>
      </c>
      <c r="E674" t="s">
        <v>26</v>
      </c>
      <c r="F674" t="s">
        <v>4420</v>
      </c>
      <c r="G674" t="s">
        <v>4421</v>
      </c>
      <c r="H674" t="s">
        <v>43</v>
      </c>
      <c r="I674" t="s">
        <v>30</v>
      </c>
      <c r="J674" t="s">
        <v>2055</v>
      </c>
      <c r="K674" t="s">
        <v>45</v>
      </c>
      <c r="L674" t="s">
        <v>2487</v>
      </c>
      <c r="M674" t="s">
        <v>47</v>
      </c>
      <c r="N674" t="s">
        <v>148</v>
      </c>
      <c r="O674" t="s">
        <v>36</v>
      </c>
      <c r="P674" t="s">
        <v>149</v>
      </c>
      <c r="Q674" t="s">
        <v>150</v>
      </c>
      <c r="R674">
        <v>81.567999999999998</v>
      </c>
      <c r="S674">
        <v>2</v>
      </c>
      <c r="T674">
        <v>0.2</v>
      </c>
      <c r="U674">
        <v>9.1763999999999992</v>
      </c>
      <c r="V674">
        <v>72.391599999999997</v>
      </c>
      <c r="W674">
        <v>65.254400000000004</v>
      </c>
      <c r="X674">
        <v>2.7627514794534173E-2</v>
      </c>
    </row>
    <row r="675" spans="1:24" x14ac:dyDescent="0.3">
      <c r="A675" t="s">
        <v>4422</v>
      </c>
      <c r="B675" t="s">
        <v>4423</v>
      </c>
      <c r="C675" s="1">
        <v>42898</v>
      </c>
      <c r="D675" s="1">
        <v>42903</v>
      </c>
      <c r="E675" t="s">
        <v>54</v>
      </c>
      <c r="F675" t="s">
        <v>4424</v>
      </c>
      <c r="G675" t="s">
        <v>4425</v>
      </c>
      <c r="H675" t="s">
        <v>29</v>
      </c>
      <c r="I675" t="s">
        <v>30</v>
      </c>
      <c r="J675" t="s">
        <v>144</v>
      </c>
      <c r="K675" t="s">
        <v>145</v>
      </c>
      <c r="L675" t="s">
        <v>634</v>
      </c>
      <c r="M675" t="s">
        <v>147</v>
      </c>
      <c r="N675" t="s">
        <v>4426</v>
      </c>
      <c r="O675" t="s">
        <v>49</v>
      </c>
      <c r="P675" t="s">
        <v>79</v>
      </c>
      <c r="Q675" t="s">
        <v>4427</v>
      </c>
      <c r="R675">
        <v>20.736000000000001</v>
      </c>
      <c r="S675">
        <v>4</v>
      </c>
      <c r="T675">
        <v>0.2</v>
      </c>
      <c r="U675">
        <v>7.2576000000000001</v>
      </c>
      <c r="V675">
        <v>13.478400000000001</v>
      </c>
      <c r="W675">
        <v>16.588800000000003</v>
      </c>
      <c r="X675">
        <v>0.29677113010446343</v>
      </c>
    </row>
    <row r="676" spans="1:24" x14ac:dyDescent="0.3">
      <c r="A676" t="s">
        <v>4428</v>
      </c>
      <c r="B676" t="s">
        <v>4429</v>
      </c>
      <c r="C676" s="1">
        <v>43245</v>
      </c>
      <c r="D676" s="1">
        <v>43250</v>
      </c>
      <c r="E676" t="s">
        <v>54</v>
      </c>
      <c r="F676" t="s">
        <v>4430</v>
      </c>
      <c r="G676" t="s">
        <v>4431</v>
      </c>
      <c r="H676" t="s">
        <v>95</v>
      </c>
      <c r="I676" t="s">
        <v>30</v>
      </c>
      <c r="J676" t="s">
        <v>475</v>
      </c>
      <c r="K676" t="s">
        <v>1136</v>
      </c>
      <c r="L676" t="s">
        <v>1137</v>
      </c>
      <c r="M676" t="s">
        <v>34</v>
      </c>
      <c r="N676" t="s">
        <v>4432</v>
      </c>
      <c r="O676" t="s">
        <v>36</v>
      </c>
      <c r="P676" t="s">
        <v>69</v>
      </c>
      <c r="Q676" t="s">
        <v>4433</v>
      </c>
      <c r="R676">
        <v>24.96</v>
      </c>
      <c r="S676">
        <v>4</v>
      </c>
      <c r="T676">
        <v>0</v>
      </c>
      <c r="U676">
        <v>6.24</v>
      </c>
      <c r="V676">
        <v>18.72</v>
      </c>
      <c r="W676">
        <v>24.96</v>
      </c>
      <c r="X676">
        <v>0.21367521367521369</v>
      </c>
    </row>
    <row r="677" spans="1:24" x14ac:dyDescent="0.3">
      <c r="A677" t="s">
        <v>4434</v>
      </c>
      <c r="B677" t="s">
        <v>4435</v>
      </c>
      <c r="C677" s="1">
        <v>43351</v>
      </c>
      <c r="D677" s="1">
        <v>43353</v>
      </c>
      <c r="E677" t="s">
        <v>180</v>
      </c>
      <c r="F677" t="s">
        <v>4436</v>
      </c>
      <c r="G677" t="s">
        <v>4437</v>
      </c>
      <c r="H677" t="s">
        <v>95</v>
      </c>
      <c r="I677" t="s">
        <v>30</v>
      </c>
      <c r="J677" t="s">
        <v>261</v>
      </c>
      <c r="K677" t="s">
        <v>262</v>
      </c>
      <c r="L677" t="s">
        <v>1788</v>
      </c>
      <c r="M677" t="s">
        <v>147</v>
      </c>
      <c r="N677" t="s">
        <v>4438</v>
      </c>
      <c r="O677" t="s">
        <v>49</v>
      </c>
      <c r="P677" t="s">
        <v>101</v>
      </c>
      <c r="Q677" t="s">
        <v>4439</v>
      </c>
      <c r="R677">
        <v>207.48</v>
      </c>
      <c r="S677">
        <v>1</v>
      </c>
      <c r="T677">
        <v>0</v>
      </c>
      <c r="U677">
        <v>62.244</v>
      </c>
      <c r="V677">
        <v>145.23599999999999</v>
      </c>
      <c r="W677">
        <v>207.48</v>
      </c>
      <c r="X677">
        <v>6.8853452312098934E-3</v>
      </c>
    </row>
    <row r="678" spans="1:24" x14ac:dyDescent="0.3">
      <c r="A678" t="s">
        <v>4440</v>
      </c>
      <c r="B678" t="s">
        <v>4441</v>
      </c>
      <c r="C678" s="1">
        <v>43572</v>
      </c>
      <c r="D678" s="1">
        <v>43578</v>
      </c>
      <c r="E678" t="s">
        <v>54</v>
      </c>
      <c r="F678" t="s">
        <v>4442</v>
      </c>
      <c r="G678" t="s">
        <v>4443</v>
      </c>
      <c r="H678" t="s">
        <v>95</v>
      </c>
      <c r="I678" t="s">
        <v>30</v>
      </c>
      <c r="J678" t="s">
        <v>2258</v>
      </c>
      <c r="K678" t="s">
        <v>435</v>
      </c>
      <c r="L678" t="s">
        <v>2514</v>
      </c>
      <c r="M678" t="s">
        <v>47</v>
      </c>
      <c r="N678" t="s">
        <v>1361</v>
      </c>
      <c r="O678" t="s">
        <v>49</v>
      </c>
      <c r="P678" t="s">
        <v>89</v>
      </c>
      <c r="Q678" t="s">
        <v>1362</v>
      </c>
      <c r="R678">
        <v>12.03</v>
      </c>
      <c r="S678">
        <v>5</v>
      </c>
      <c r="T678">
        <v>0.7</v>
      </c>
      <c r="U678">
        <v>-9.2230000000000008</v>
      </c>
      <c r="V678">
        <v>21.253</v>
      </c>
      <c r="W678">
        <v>3.6090000000000004</v>
      </c>
      <c r="X678">
        <v>0.2352609043429163</v>
      </c>
    </row>
    <row r="679" spans="1:24" x14ac:dyDescent="0.3">
      <c r="A679" t="s">
        <v>4444</v>
      </c>
      <c r="B679" t="s">
        <v>4445</v>
      </c>
      <c r="C679" s="1">
        <v>43786</v>
      </c>
      <c r="D679" s="1">
        <v>43792</v>
      </c>
      <c r="E679" t="s">
        <v>54</v>
      </c>
      <c r="F679" t="s">
        <v>4446</v>
      </c>
      <c r="G679" t="s">
        <v>4447</v>
      </c>
      <c r="H679" t="s">
        <v>29</v>
      </c>
      <c r="I679" t="s">
        <v>30</v>
      </c>
      <c r="J679" t="s">
        <v>2663</v>
      </c>
      <c r="K679" t="s">
        <v>97</v>
      </c>
      <c r="L679" t="s">
        <v>2664</v>
      </c>
      <c r="M679" t="s">
        <v>99</v>
      </c>
      <c r="N679" t="s">
        <v>3950</v>
      </c>
      <c r="O679" t="s">
        <v>36</v>
      </c>
      <c r="P679" t="s">
        <v>37</v>
      </c>
      <c r="Q679" t="s">
        <v>3951</v>
      </c>
      <c r="R679">
        <v>327.7328</v>
      </c>
      <c r="S679">
        <v>2</v>
      </c>
      <c r="T679">
        <v>0.32</v>
      </c>
      <c r="U679">
        <v>-14.4588</v>
      </c>
      <c r="V679">
        <v>342.19159999999999</v>
      </c>
      <c r="W679">
        <v>222.85830399999998</v>
      </c>
      <c r="X679">
        <v>5.844678829053665E-3</v>
      </c>
    </row>
    <row r="680" spans="1:24" x14ac:dyDescent="0.3">
      <c r="A680" t="s">
        <v>4448</v>
      </c>
      <c r="B680" t="s">
        <v>4449</v>
      </c>
      <c r="C680" s="1">
        <v>42999</v>
      </c>
      <c r="D680" s="1">
        <v>43005</v>
      </c>
      <c r="E680" t="s">
        <v>54</v>
      </c>
      <c r="F680" t="s">
        <v>4450</v>
      </c>
      <c r="G680" t="s">
        <v>4451</v>
      </c>
      <c r="H680" t="s">
        <v>43</v>
      </c>
      <c r="I680" t="s">
        <v>30</v>
      </c>
      <c r="J680" t="s">
        <v>4452</v>
      </c>
      <c r="K680" t="s">
        <v>235</v>
      </c>
      <c r="L680" t="s">
        <v>4453</v>
      </c>
      <c r="M680" t="s">
        <v>99</v>
      </c>
      <c r="N680" t="s">
        <v>4454</v>
      </c>
      <c r="O680" t="s">
        <v>36</v>
      </c>
      <c r="P680" t="s">
        <v>37</v>
      </c>
      <c r="Q680" t="s">
        <v>4455</v>
      </c>
      <c r="R680">
        <v>194.32</v>
      </c>
      <c r="S680">
        <v>4</v>
      </c>
      <c r="T680">
        <v>0</v>
      </c>
      <c r="U680">
        <v>31.091200000000001</v>
      </c>
      <c r="V680">
        <v>163.22879999999998</v>
      </c>
      <c r="W680">
        <v>194.32</v>
      </c>
      <c r="X680">
        <v>2.4505479425199476E-2</v>
      </c>
    </row>
    <row r="681" spans="1:24" x14ac:dyDescent="0.3">
      <c r="A681" t="s">
        <v>4456</v>
      </c>
      <c r="B681" t="s">
        <v>4457</v>
      </c>
      <c r="C681" s="1">
        <v>43557</v>
      </c>
      <c r="D681" s="1">
        <v>43559</v>
      </c>
      <c r="E681" t="s">
        <v>180</v>
      </c>
      <c r="F681" t="s">
        <v>4458</v>
      </c>
      <c r="G681" t="s">
        <v>4459</v>
      </c>
      <c r="H681" t="s">
        <v>95</v>
      </c>
      <c r="I681" t="s">
        <v>30</v>
      </c>
      <c r="J681" t="s">
        <v>475</v>
      </c>
      <c r="K681" t="s">
        <v>1136</v>
      </c>
      <c r="L681" t="s">
        <v>1137</v>
      </c>
      <c r="M681" t="s">
        <v>34</v>
      </c>
      <c r="N681" t="s">
        <v>514</v>
      </c>
      <c r="O681" t="s">
        <v>36</v>
      </c>
      <c r="P681" t="s">
        <v>61</v>
      </c>
      <c r="Q681" t="s">
        <v>515</v>
      </c>
      <c r="R681">
        <v>411.8</v>
      </c>
      <c r="S681">
        <v>2</v>
      </c>
      <c r="T681">
        <v>0</v>
      </c>
      <c r="U681">
        <v>70.006</v>
      </c>
      <c r="V681">
        <v>341.79399999999998</v>
      </c>
      <c r="W681">
        <v>411.8</v>
      </c>
      <c r="X681">
        <v>5.8514777907160455E-3</v>
      </c>
    </row>
    <row r="682" spans="1:24" x14ac:dyDescent="0.3">
      <c r="A682" t="s">
        <v>4460</v>
      </c>
      <c r="B682" t="s">
        <v>4461</v>
      </c>
      <c r="C682" s="1">
        <v>43199</v>
      </c>
      <c r="D682" s="1">
        <v>43204</v>
      </c>
      <c r="E682" t="s">
        <v>26</v>
      </c>
      <c r="F682" t="s">
        <v>4462</v>
      </c>
      <c r="G682" t="s">
        <v>4463</v>
      </c>
      <c r="H682" t="s">
        <v>95</v>
      </c>
      <c r="I682" t="s">
        <v>30</v>
      </c>
      <c r="J682" t="s">
        <v>839</v>
      </c>
      <c r="K682" t="s">
        <v>235</v>
      </c>
      <c r="L682" t="s">
        <v>840</v>
      </c>
      <c r="M682" t="s">
        <v>99</v>
      </c>
      <c r="N682" t="s">
        <v>4464</v>
      </c>
      <c r="O682" t="s">
        <v>186</v>
      </c>
      <c r="P682" t="s">
        <v>187</v>
      </c>
      <c r="Q682" t="s">
        <v>4465</v>
      </c>
      <c r="R682">
        <v>517.9</v>
      </c>
      <c r="S682">
        <v>2</v>
      </c>
      <c r="T682">
        <v>0</v>
      </c>
      <c r="U682">
        <v>134.654</v>
      </c>
      <c r="V682">
        <v>383.24599999999998</v>
      </c>
      <c r="W682">
        <v>517.9</v>
      </c>
      <c r="X682">
        <v>5.2185802330617934E-3</v>
      </c>
    </row>
    <row r="683" spans="1:24" x14ac:dyDescent="0.3">
      <c r="A683" t="s">
        <v>4466</v>
      </c>
      <c r="B683" t="s">
        <v>4467</v>
      </c>
      <c r="C683" s="1">
        <v>43527</v>
      </c>
      <c r="D683" s="1">
        <v>43531</v>
      </c>
      <c r="E683" t="s">
        <v>54</v>
      </c>
      <c r="F683" t="s">
        <v>4468</v>
      </c>
      <c r="G683" t="s">
        <v>4469</v>
      </c>
      <c r="H683" t="s">
        <v>29</v>
      </c>
      <c r="I683" t="s">
        <v>30</v>
      </c>
      <c r="J683" t="s">
        <v>782</v>
      </c>
      <c r="K683" t="s">
        <v>97</v>
      </c>
      <c r="L683" t="s">
        <v>1900</v>
      </c>
      <c r="M683" t="s">
        <v>99</v>
      </c>
      <c r="N683" t="s">
        <v>4470</v>
      </c>
      <c r="O683" t="s">
        <v>49</v>
      </c>
      <c r="P683" t="s">
        <v>79</v>
      </c>
      <c r="Q683" t="s">
        <v>4471</v>
      </c>
      <c r="R683">
        <v>26.88</v>
      </c>
      <c r="S683">
        <v>8</v>
      </c>
      <c r="T683">
        <v>0.2</v>
      </c>
      <c r="U683">
        <v>9.7439999999999998</v>
      </c>
      <c r="V683">
        <v>17.135999999999999</v>
      </c>
      <c r="W683">
        <v>21.504000000000001</v>
      </c>
      <c r="X683">
        <v>0.46685340802987862</v>
      </c>
    </row>
    <row r="684" spans="1:24" x14ac:dyDescent="0.3">
      <c r="A684" t="s">
        <v>4472</v>
      </c>
      <c r="B684" t="s">
        <v>4473</v>
      </c>
      <c r="C684" s="1">
        <v>43537</v>
      </c>
      <c r="D684" s="1">
        <v>43542</v>
      </c>
      <c r="E684" t="s">
        <v>26</v>
      </c>
      <c r="F684" t="s">
        <v>4474</v>
      </c>
      <c r="G684" t="s">
        <v>4475</v>
      </c>
      <c r="H684" t="s">
        <v>95</v>
      </c>
      <c r="I684" t="s">
        <v>30</v>
      </c>
      <c r="J684" t="s">
        <v>4089</v>
      </c>
      <c r="K684" t="s">
        <v>642</v>
      </c>
      <c r="L684" t="s">
        <v>4090</v>
      </c>
      <c r="M684" t="s">
        <v>47</v>
      </c>
      <c r="N684" t="s">
        <v>4476</v>
      </c>
      <c r="O684" t="s">
        <v>49</v>
      </c>
      <c r="P684" t="s">
        <v>111</v>
      </c>
      <c r="Q684" t="s">
        <v>4477</v>
      </c>
      <c r="R684">
        <v>90.8</v>
      </c>
      <c r="S684">
        <v>8</v>
      </c>
      <c r="T684">
        <v>0</v>
      </c>
      <c r="U684">
        <v>25.423999999999999</v>
      </c>
      <c r="V684">
        <v>65.376000000000005</v>
      </c>
      <c r="W684">
        <v>90.8</v>
      </c>
      <c r="X684">
        <v>0.12236906510034262</v>
      </c>
    </row>
    <row r="685" spans="1:24" x14ac:dyDescent="0.3">
      <c r="A685" t="s">
        <v>4478</v>
      </c>
      <c r="B685" t="s">
        <v>4479</v>
      </c>
      <c r="C685" s="1">
        <v>43712</v>
      </c>
      <c r="D685" s="1">
        <v>43713</v>
      </c>
      <c r="E685" t="s">
        <v>180</v>
      </c>
      <c r="F685" t="s">
        <v>4480</v>
      </c>
      <c r="G685" t="s">
        <v>4481</v>
      </c>
      <c r="H685" t="s">
        <v>95</v>
      </c>
      <c r="I685" t="s">
        <v>30</v>
      </c>
      <c r="J685" t="s">
        <v>4482</v>
      </c>
      <c r="K685" t="s">
        <v>45</v>
      </c>
      <c r="L685" t="s">
        <v>4483</v>
      </c>
      <c r="M685" t="s">
        <v>47</v>
      </c>
      <c r="N685" t="s">
        <v>1983</v>
      </c>
      <c r="O685" t="s">
        <v>49</v>
      </c>
      <c r="P685" t="s">
        <v>79</v>
      </c>
      <c r="Q685" t="s">
        <v>1984</v>
      </c>
      <c r="R685">
        <v>12.96</v>
      </c>
      <c r="S685">
        <v>2</v>
      </c>
      <c r="T685">
        <v>0</v>
      </c>
      <c r="U685">
        <v>6.2207999999999997</v>
      </c>
      <c r="V685">
        <v>6.7392000000000012</v>
      </c>
      <c r="W685">
        <v>12.96</v>
      </c>
      <c r="X685">
        <v>0.29677113010446338</v>
      </c>
    </row>
    <row r="686" spans="1:24" x14ac:dyDescent="0.3">
      <c r="A686" t="s">
        <v>4484</v>
      </c>
      <c r="B686" t="s">
        <v>4485</v>
      </c>
      <c r="C686" s="1">
        <v>43821</v>
      </c>
      <c r="D686" s="1">
        <v>43826</v>
      </c>
      <c r="E686" t="s">
        <v>26</v>
      </c>
      <c r="F686" t="s">
        <v>4486</v>
      </c>
      <c r="G686" t="s">
        <v>4487</v>
      </c>
      <c r="H686" t="s">
        <v>43</v>
      </c>
      <c r="I686" t="s">
        <v>30</v>
      </c>
      <c r="J686" t="s">
        <v>2918</v>
      </c>
      <c r="K686" t="s">
        <v>1266</v>
      </c>
      <c r="L686" t="s">
        <v>2919</v>
      </c>
      <c r="M686" t="s">
        <v>147</v>
      </c>
      <c r="N686" t="s">
        <v>4488</v>
      </c>
      <c r="O686" t="s">
        <v>49</v>
      </c>
      <c r="P686" t="s">
        <v>1705</v>
      </c>
      <c r="Q686" t="s">
        <v>4489</v>
      </c>
      <c r="R686">
        <v>695.16</v>
      </c>
      <c r="S686">
        <v>6</v>
      </c>
      <c r="T686">
        <v>0</v>
      </c>
      <c r="U686">
        <v>34.758000000000003</v>
      </c>
      <c r="V686">
        <v>660.40199999999993</v>
      </c>
      <c r="W686">
        <v>695.16</v>
      </c>
      <c r="X686">
        <v>9.0853752714255866E-3</v>
      </c>
    </row>
    <row r="687" spans="1:24" x14ac:dyDescent="0.3">
      <c r="A687" t="s">
        <v>4490</v>
      </c>
      <c r="B687" t="s">
        <v>4491</v>
      </c>
      <c r="C687" s="1">
        <v>43547</v>
      </c>
      <c r="D687" s="1">
        <v>43553</v>
      </c>
      <c r="E687" t="s">
        <v>54</v>
      </c>
      <c r="F687" t="s">
        <v>4492</v>
      </c>
      <c r="G687" t="s">
        <v>4493</v>
      </c>
      <c r="H687" t="s">
        <v>29</v>
      </c>
      <c r="I687" t="s">
        <v>30</v>
      </c>
      <c r="J687" t="s">
        <v>261</v>
      </c>
      <c r="K687" t="s">
        <v>262</v>
      </c>
      <c r="L687" t="s">
        <v>263</v>
      </c>
      <c r="M687" t="s">
        <v>147</v>
      </c>
      <c r="N687" t="s">
        <v>4494</v>
      </c>
      <c r="O687" t="s">
        <v>49</v>
      </c>
      <c r="P687" t="s">
        <v>79</v>
      </c>
      <c r="Q687" t="s">
        <v>4495</v>
      </c>
      <c r="R687">
        <v>25.68</v>
      </c>
      <c r="S687">
        <v>6</v>
      </c>
      <c r="T687">
        <v>0</v>
      </c>
      <c r="U687">
        <v>11.555999999999999</v>
      </c>
      <c r="V687">
        <v>14.124000000000001</v>
      </c>
      <c r="W687">
        <v>25.68</v>
      </c>
      <c r="X687">
        <v>0.42480883602378927</v>
      </c>
    </row>
    <row r="688" spans="1:24" x14ac:dyDescent="0.3">
      <c r="A688" t="s">
        <v>4496</v>
      </c>
      <c r="B688" t="s">
        <v>4497</v>
      </c>
      <c r="C688" s="1">
        <v>43716</v>
      </c>
      <c r="D688" s="1">
        <v>43720</v>
      </c>
      <c r="E688" t="s">
        <v>54</v>
      </c>
      <c r="F688" t="s">
        <v>4498</v>
      </c>
      <c r="G688" t="s">
        <v>4499</v>
      </c>
      <c r="H688" t="s">
        <v>29</v>
      </c>
      <c r="I688" t="s">
        <v>30</v>
      </c>
      <c r="J688" t="s">
        <v>144</v>
      </c>
      <c r="K688" t="s">
        <v>145</v>
      </c>
      <c r="L688" t="s">
        <v>634</v>
      </c>
      <c r="M688" t="s">
        <v>147</v>
      </c>
      <c r="N688" t="s">
        <v>4500</v>
      </c>
      <c r="O688" t="s">
        <v>186</v>
      </c>
      <c r="P688" t="s">
        <v>187</v>
      </c>
      <c r="Q688" t="s">
        <v>4501</v>
      </c>
      <c r="R688">
        <v>258.52800000000002</v>
      </c>
      <c r="S688">
        <v>2</v>
      </c>
      <c r="T688">
        <v>0.4</v>
      </c>
      <c r="U688">
        <v>-47.396799999999999</v>
      </c>
      <c r="V688">
        <v>305.9248</v>
      </c>
      <c r="W688">
        <v>155.11680000000001</v>
      </c>
      <c r="X688">
        <v>6.537554327076458E-3</v>
      </c>
    </row>
    <row r="689" spans="1:24" x14ac:dyDescent="0.3">
      <c r="A689" t="s">
        <v>4502</v>
      </c>
      <c r="B689" t="s">
        <v>4503</v>
      </c>
      <c r="C689" s="1">
        <v>42606</v>
      </c>
      <c r="D689" s="1">
        <v>42608</v>
      </c>
      <c r="E689" t="s">
        <v>180</v>
      </c>
      <c r="F689" t="s">
        <v>4504</v>
      </c>
      <c r="G689" t="s">
        <v>4505</v>
      </c>
      <c r="H689" t="s">
        <v>43</v>
      </c>
      <c r="I689" t="s">
        <v>30</v>
      </c>
      <c r="J689" t="s">
        <v>2055</v>
      </c>
      <c r="K689" t="s">
        <v>262</v>
      </c>
      <c r="L689" t="s">
        <v>2056</v>
      </c>
      <c r="M689" t="s">
        <v>147</v>
      </c>
      <c r="N689" t="s">
        <v>4506</v>
      </c>
      <c r="O689" t="s">
        <v>36</v>
      </c>
      <c r="P689" t="s">
        <v>69</v>
      </c>
      <c r="Q689" t="s">
        <v>4507</v>
      </c>
      <c r="R689">
        <v>13.28</v>
      </c>
      <c r="S689">
        <v>2</v>
      </c>
      <c r="T689">
        <v>0</v>
      </c>
      <c r="U689">
        <v>6.3743999999999996</v>
      </c>
      <c r="V689">
        <v>6.9055999999999997</v>
      </c>
      <c r="W689">
        <v>13.28</v>
      </c>
      <c r="X689">
        <v>0.2896200185356812</v>
      </c>
    </row>
    <row r="690" spans="1:24" x14ac:dyDescent="0.3">
      <c r="A690" t="s">
        <v>4508</v>
      </c>
      <c r="B690" t="s">
        <v>4509</v>
      </c>
      <c r="C690" s="1">
        <v>43507</v>
      </c>
      <c r="D690" s="1">
        <v>43509</v>
      </c>
      <c r="E690" t="s">
        <v>26</v>
      </c>
      <c r="F690" t="s">
        <v>4510</v>
      </c>
      <c r="G690" t="s">
        <v>4511</v>
      </c>
      <c r="H690" t="s">
        <v>43</v>
      </c>
      <c r="I690" t="s">
        <v>30</v>
      </c>
      <c r="J690" t="s">
        <v>85</v>
      </c>
      <c r="K690" t="s">
        <v>86</v>
      </c>
      <c r="L690" t="s">
        <v>606</v>
      </c>
      <c r="M690" t="s">
        <v>47</v>
      </c>
      <c r="N690" t="s">
        <v>4512</v>
      </c>
      <c r="O690" t="s">
        <v>36</v>
      </c>
      <c r="P690" t="s">
        <v>149</v>
      </c>
      <c r="Q690" t="s">
        <v>4513</v>
      </c>
      <c r="R690">
        <v>963.13599999999997</v>
      </c>
      <c r="S690">
        <v>4</v>
      </c>
      <c r="T690">
        <v>0.2</v>
      </c>
      <c r="U690">
        <v>108.3528</v>
      </c>
      <c r="V690">
        <v>854.78319999999997</v>
      </c>
      <c r="W690">
        <v>770.50880000000006</v>
      </c>
      <c r="X690">
        <v>4.679549153516354E-3</v>
      </c>
    </row>
    <row r="691" spans="1:24" x14ac:dyDescent="0.3">
      <c r="A691" t="s">
        <v>4514</v>
      </c>
      <c r="B691" t="s">
        <v>4515</v>
      </c>
      <c r="C691" s="1">
        <v>42585</v>
      </c>
      <c r="D691" s="1">
        <v>42587</v>
      </c>
      <c r="E691" t="s">
        <v>26</v>
      </c>
      <c r="F691" t="s">
        <v>4516</v>
      </c>
      <c r="G691" t="s">
        <v>4517</v>
      </c>
      <c r="H691" t="s">
        <v>95</v>
      </c>
      <c r="I691" t="s">
        <v>30</v>
      </c>
      <c r="J691" t="s">
        <v>4412</v>
      </c>
      <c r="K691" t="s">
        <v>295</v>
      </c>
      <c r="L691" t="s">
        <v>4413</v>
      </c>
      <c r="M691" t="s">
        <v>47</v>
      </c>
      <c r="N691" t="s">
        <v>4518</v>
      </c>
      <c r="O691" t="s">
        <v>49</v>
      </c>
      <c r="P691" t="s">
        <v>79</v>
      </c>
      <c r="Q691" t="s">
        <v>4519</v>
      </c>
      <c r="R691">
        <v>93.024000000000001</v>
      </c>
      <c r="S691">
        <v>3</v>
      </c>
      <c r="T691">
        <v>0.2</v>
      </c>
      <c r="U691">
        <v>33.721200000000003</v>
      </c>
      <c r="V691">
        <v>59.302799999999998</v>
      </c>
      <c r="W691">
        <v>74.419200000000004</v>
      </c>
      <c r="X691">
        <v>5.058783059147292E-2</v>
      </c>
    </row>
    <row r="692" spans="1:24" x14ac:dyDescent="0.3">
      <c r="A692" t="s">
        <v>4520</v>
      </c>
      <c r="B692" t="s">
        <v>4521</v>
      </c>
      <c r="C692" s="1">
        <v>42625</v>
      </c>
      <c r="D692" s="1">
        <v>42629</v>
      </c>
      <c r="E692" t="s">
        <v>26</v>
      </c>
      <c r="F692" t="s">
        <v>4522</v>
      </c>
      <c r="G692" t="s">
        <v>4523</v>
      </c>
      <c r="H692" t="s">
        <v>29</v>
      </c>
      <c r="I692" t="s">
        <v>30</v>
      </c>
      <c r="J692" t="s">
        <v>174</v>
      </c>
      <c r="K692" t="s">
        <v>97</v>
      </c>
      <c r="L692" t="s">
        <v>1373</v>
      </c>
      <c r="M692" t="s">
        <v>99</v>
      </c>
      <c r="N692" t="s">
        <v>4524</v>
      </c>
      <c r="O692" t="s">
        <v>49</v>
      </c>
      <c r="P692" t="s">
        <v>89</v>
      </c>
      <c r="Q692" t="s">
        <v>4525</v>
      </c>
      <c r="R692">
        <v>5.18</v>
      </c>
      <c r="S692">
        <v>5</v>
      </c>
      <c r="T692">
        <v>0.8</v>
      </c>
      <c r="U692">
        <v>-8.0289999999999999</v>
      </c>
      <c r="V692">
        <v>13.209</v>
      </c>
      <c r="W692">
        <v>1.0359999999999998</v>
      </c>
      <c r="X692">
        <v>0.37852979029449618</v>
      </c>
    </row>
    <row r="693" spans="1:24" x14ac:dyDescent="0.3">
      <c r="A693" t="s">
        <v>4526</v>
      </c>
      <c r="B693" t="s">
        <v>4527</v>
      </c>
      <c r="C693" s="1">
        <v>42614</v>
      </c>
      <c r="D693" s="1">
        <v>42617</v>
      </c>
      <c r="E693" t="s">
        <v>180</v>
      </c>
      <c r="F693" t="s">
        <v>4528</v>
      </c>
      <c r="G693" t="s">
        <v>4529</v>
      </c>
      <c r="H693" t="s">
        <v>29</v>
      </c>
      <c r="I693" t="s">
        <v>30</v>
      </c>
      <c r="J693" t="s">
        <v>174</v>
      </c>
      <c r="K693" t="s">
        <v>97</v>
      </c>
      <c r="L693" t="s">
        <v>676</v>
      </c>
      <c r="M693" t="s">
        <v>99</v>
      </c>
      <c r="N693" t="s">
        <v>3157</v>
      </c>
      <c r="O693" t="s">
        <v>49</v>
      </c>
      <c r="P693" t="s">
        <v>89</v>
      </c>
      <c r="Q693" t="s">
        <v>3158</v>
      </c>
      <c r="R693">
        <v>3.6480000000000001</v>
      </c>
      <c r="S693">
        <v>3</v>
      </c>
      <c r="T693">
        <v>0.8</v>
      </c>
      <c r="U693">
        <v>-6.0191999999999997</v>
      </c>
      <c r="V693">
        <v>9.6671999999999993</v>
      </c>
      <c r="W693">
        <v>0.72959999999999992</v>
      </c>
      <c r="X693">
        <v>0.31032770605759685</v>
      </c>
    </row>
    <row r="694" spans="1:24" x14ac:dyDescent="0.3">
      <c r="A694" t="s">
        <v>4530</v>
      </c>
      <c r="B694" t="s">
        <v>4531</v>
      </c>
      <c r="C694" s="1">
        <v>43817</v>
      </c>
      <c r="D694" s="1">
        <v>43821</v>
      </c>
      <c r="E694" t="s">
        <v>54</v>
      </c>
      <c r="F694" t="s">
        <v>4532</v>
      </c>
      <c r="G694" t="s">
        <v>4533</v>
      </c>
      <c r="H694" t="s">
        <v>43</v>
      </c>
      <c r="I694" t="s">
        <v>30</v>
      </c>
      <c r="J694" t="s">
        <v>144</v>
      </c>
      <c r="K694" t="s">
        <v>145</v>
      </c>
      <c r="L694" t="s">
        <v>634</v>
      </c>
      <c r="M694" t="s">
        <v>147</v>
      </c>
      <c r="N694" t="s">
        <v>4534</v>
      </c>
      <c r="O694" t="s">
        <v>49</v>
      </c>
      <c r="P694" t="s">
        <v>129</v>
      </c>
      <c r="Q694" t="s">
        <v>4535</v>
      </c>
      <c r="R694">
        <v>18.704000000000001</v>
      </c>
      <c r="S694">
        <v>7</v>
      </c>
      <c r="T694">
        <v>0.2</v>
      </c>
      <c r="U694">
        <v>2.3380000000000001</v>
      </c>
      <c r="V694">
        <v>16.366</v>
      </c>
      <c r="W694">
        <v>14.963200000000001</v>
      </c>
      <c r="X694">
        <v>0.42771599657827203</v>
      </c>
    </row>
    <row r="695" spans="1:24" x14ac:dyDescent="0.3">
      <c r="A695" t="s">
        <v>4536</v>
      </c>
      <c r="B695" t="s">
        <v>4537</v>
      </c>
      <c r="C695" s="1">
        <v>43222</v>
      </c>
      <c r="D695" s="1">
        <v>43222</v>
      </c>
      <c r="E695" t="s">
        <v>1152</v>
      </c>
      <c r="F695" t="s">
        <v>4538</v>
      </c>
      <c r="G695" t="s">
        <v>4539</v>
      </c>
      <c r="H695" t="s">
        <v>29</v>
      </c>
      <c r="I695" t="s">
        <v>30</v>
      </c>
      <c r="J695" t="s">
        <v>261</v>
      </c>
      <c r="K695" t="s">
        <v>262</v>
      </c>
      <c r="L695" t="s">
        <v>263</v>
      </c>
      <c r="M695" t="s">
        <v>147</v>
      </c>
      <c r="N695" t="s">
        <v>1274</v>
      </c>
      <c r="O695" t="s">
        <v>49</v>
      </c>
      <c r="P695" t="s">
        <v>111</v>
      </c>
      <c r="Q695" t="s">
        <v>1275</v>
      </c>
      <c r="R695">
        <v>44.94</v>
      </c>
      <c r="S695">
        <v>3</v>
      </c>
      <c r="T695">
        <v>0</v>
      </c>
      <c r="U695">
        <v>12.5832</v>
      </c>
      <c r="V695">
        <v>32.3568</v>
      </c>
      <c r="W695">
        <v>44.94</v>
      </c>
      <c r="X695">
        <v>9.2716214211541317E-2</v>
      </c>
    </row>
    <row r="696" spans="1:24" x14ac:dyDescent="0.3">
      <c r="A696" t="s">
        <v>4540</v>
      </c>
      <c r="B696" t="s">
        <v>4541</v>
      </c>
      <c r="C696" s="1">
        <v>43424</v>
      </c>
      <c r="D696" s="1">
        <v>43431</v>
      </c>
      <c r="E696" t="s">
        <v>54</v>
      </c>
      <c r="F696" t="s">
        <v>4542</v>
      </c>
      <c r="G696" t="s">
        <v>4543</v>
      </c>
      <c r="H696" t="s">
        <v>43</v>
      </c>
      <c r="I696" t="s">
        <v>30</v>
      </c>
      <c r="J696" t="s">
        <v>174</v>
      </c>
      <c r="K696" t="s">
        <v>97</v>
      </c>
      <c r="L696" t="s">
        <v>175</v>
      </c>
      <c r="M696" t="s">
        <v>99</v>
      </c>
      <c r="N696" t="s">
        <v>4544</v>
      </c>
      <c r="O696" t="s">
        <v>36</v>
      </c>
      <c r="P696" t="s">
        <v>149</v>
      </c>
      <c r="Q696" t="s">
        <v>4545</v>
      </c>
      <c r="R696">
        <v>318.43</v>
      </c>
      <c r="S696">
        <v>5</v>
      </c>
      <c r="T696">
        <v>0.3</v>
      </c>
      <c r="U696">
        <v>-77.332999999999998</v>
      </c>
      <c r="V696">
        <v>395.76300000000003</v>
      </c>
      <c r="W696">
        <v>222.90099999999998</v>
      </c>
      <c r="X696">
        <v>1.2633823778372409E-2</v>
      </c>
    </row>
    <row r="697" spans="1:24" x14ac:dyDescent="0.3">
      <c r="A697" t="s">
        <v>4546</v>
      </c>
      <c r="B697" t="s">
        <v>4547</v>
      </c>
      <c r="C697" s="1">
        <v>43800</v>
      </c>
      <c r="D697" s="1">
        <v>43804</v>
      </c>
      <c r="E697" t="s">
        <v>54</v>
      </c>
      <c r="F697" t="s">
        <v>4548</v>
      </c>
      <c r="G697" t="s">
        <v>4549</v>
      </c>
      <c r="H697" t="s">
        <v>29</v>
      </c>
      <c r="I697" t="s">
        <v>30</v>
      </c>
      <c r="J697" t="s">
        <v>720</v>
      </c>
      <c r="K697" t="s">
        <v>97</v>
      </c>
      <c r="L697" t="s">
        <v>721</v>
      </c>
      <c r="M697" t="s">
        <v>99</v>
      </c>
      <c r="N697" t="s">
        <v>4550</v>
      </c>
      <c r="O697" t="s">
        <v>186</v>
      </c>
      <c r="P697" t="s">
        <v>187</v>
      </c>
      <c r="Q697" t="s">
        <v>4551</v>
      </c>
      <c r="R697">
        <v>219.8</v>
      </c>
      <c r="S697">
        <v>5</v>
      </c>
      <c r="T697">
        <v>0.2</v>
      </c>
      <c r="U697">
        <v>24.727499999999999</v>
      </c>
      <c r="V697">
        <v>195.07250000000002</v>
      </c>
      <c r="W697">
        <v>175.84000000000003</v>
      </c>
      <c r="X697">
        <v>2.5631495982263001E-2</v>
      </c>
    </row>
    <row r="698" spans="1:24" x14ac:dyDescent="0.3">
      <c r="A698" t="s">
        <v>4552</v>
      </c>
      <c r="B698" t="s">
        <v>4553</v>
      </c>
      <c r="C698" s="1">
        <v>43572</v>
      </c>
      <c r="D698" s="1">
        <v>43574</v>
      </c>
      <c r="E698" t="s">
        <v>180</v>
      </c>
      <c r="F698" t="s">
        <v>4554</v>
      </c>
      <c r="G698" t="s">
        <v>4555</v>
      </c>
      <c r="H698" t="s">
        <v>29</v>
      </c>
      <c r="I698" t="s">
        <v>30</v>
      </c>
      <c r="J698" t="s">
        <v>144</v>
      </c>
      <c r="K698" t="s">
        <v>145</v>
      </c>
      <c r="L698" t="s">
        <v>759</v>
      </c>
      <c r="M698" t="s">
        <v>147</v>
      </c>
      <c r="N698" t="s">
        <v>4556</v>
      </c>
      <c r="O698" t="s">
        <v>36</v>
      </c>
      <c r="P698" t="s">
        <v>69</v>
      </c>
      <c r="Q698" t="s">
        <v>4557</v>
      </c>
      <c r="R698">
        <v>60.311999999999998</v>
      </c>
      <c r="S698">
        <v>3</v>
      </c>
      <c r="T698">
        <v>0.2</v>
      </c>
      <c r="U698">
        <v>5.2773000000000003</v>
      </c>
      <c r="V698">
        <v>55.034700000000001</v>
      </c>
      <c r="W698">
        <v>48.249600000000001</v>
      </c>
      <c r="X698">
        <v>5.4511063020239954E-2</v>
      </c>
    </row>
    <row r="699" spans="1:24" x14ac:dyDescent="0.3">
      <c r="A699" t="s">
        <v>4558</v>
      </c>
      <c r="B699" t="s">
        <v>4559</v>
      </c>
      <c r="C699" s="1">
        <v>43417</v>
      </c>
      <c r="D699" s="1">
        <v>43421</v>
      </c>
      <c r="E699" t="s">
        <v>54</v>
      </c>
      <c r="F699" t="s">
        <v>4560</v>
      </c>
      <c r="G699" t="s">
        <v>4561</v>
      </c>
      <c r="H699" t="s">
        <v>95</v>
      </c>
      <c r="I699" t="s">
        <v>30</v>
      </c>
      <c r="J699" t="s">
        <v>4562</v>
      </c>
      <c r="K699" t="s">
        <v>202</v>
      </c>
      <c r="L699" t="s">
        <v>4563</v>
      </c>
      <c r="M699" t="s">
        <v>99</v>
      </c>
      <c r="N699" t="s">
        <v>4564</v>
      </c>
      <c r="O699" t="s">
        <v>49</v>
      </c>
      <c r="P699" t="s">
        <v>89</v>
      </c>
      <c r="Q699" t="s">
        <v>4565</v>
      </c>
      <c r="R699">
        <v>3.1360000000000001</v>
      </c>
      <c r="S699">
        <v>2</v>
      </c>
      <c r="T699">
        <v>0.8</v>
      </c>
      <c r="U699">
        <v>-4.7039999999999997</v>
      </c>
      <c r="V699">
        <v>7.84</v>
      </c>
      <c r="W699">
        <v>0.62719999999999987</v>
      </c>
      <c r="X699">
        <v>0.25510204081632654</v>
      </c>
    </row>
    <row r="700" spans="1:24" x14ac:dyDescent="0.3">
      <c r="A700" t="s">
        <v>4566</v>
      </c>
      <c r="B700" t="s">
        <v>4567</v>
      </c>
      <c r="C700" s="1">
        <v>42688</v>
      </c>
      <c r="D700" s="1">
        <v>42689</v>
      </c>
      <c r="E700" t="s">
        <v>180</v>
      </c>
      <c r="F700" t="s">
        <v>4568</v>
      </c>
      <c r="G700" t="s">
        <v>4569</v>
      </c>
      <c r="H700" t="s">
        <v>43</v>
      </c>
      <c r="I700" t="s">
        <v>30</v>
      </c>
      <c r="J700" t="s">
        <v>568</v>
      </c>
      <c r="K700" t="s">
        <v>97</v>
      </c>
      <c r="L700" t="s">
        <v>913</v>
      </c>
      <c r="M700" t="s">
        <v>99</v>
      </c>
      <c r="N700" t="s">
        <v>4570</v>
      </c>
      <c r="O700" t="s">
        <v>49</v>
      </c>
      <c r="P700" t="s">
        <v>79</v>
      </c>
      <c r="Q700" t="s">
        <v>4571</v>
      </c>
      <c r="R700">
        <v>20.736000000000001</v>
      </c>
      <c r="S700">
        <v>4</v>
      </c>
      <c r="T700">
        <v>0.2</v>
      </c>
      <c r="U700">
        <v>7.2576000000000001</v>
      </c>
      <c r="V700">
        <v>13.478400000000001</v>
      </c>
      <c r="W700">
        <v>16.588800000000003</v>
      </c>
      <c r="X700">
        <v>0.29677113010446343</v>
      </c>
    </row>
    <row r="701" spans="1:24" x14ac:dyDescent="0.3">
      <c r="A701" t="s">
        <v>4572</v>
      </c>
      <c r="B701" t="s">
        <v>4573</v>
      </c>
      <c r="C701" s="1">
        <v>42512</v>
      </c>
      <c r="D701" s="1">
        <v>42519</v>
      </c>
      <c r="E701" t="s">
        <v>54</v>
      </c>
      <c r="F701" t="s">
        <v>4574</v>
      </c>
      <c r="G701" t="s">
        <v>4575</v>
      </c>
      <c r="H701" t="s">
        <v>29</v>
      </c>
      <c r="I701" t="s">
        <v>30</v>
      </c>
      <c r="J701" t="s">
        <v>334</v>
      </c>
      <c r="K701" t="s">
        <v>335</v>
      </c>
      <c r="L701" t="s">
        <v>336</v>
      </c>
      <c r="M701" t="s">
        <v>34</v>
      </c>
      <c r="N701" t="s">
        <v>2820</v>
      </c>
      <c r="O701" t="s">
        <v>186</v>
      </c>
      <c r="P701" t="s">
        <v>187</v>
      </c>
      <c r="Q701" t="s">
        <v>2821</v>
      </c>
      <c r="R701">
        <v>135.97999999999999</v>
      </c>
      <c r="S701">
        <v>2</v>
      </c>
      <c r="T701">
        <v>0</v>
      </c>
      <c r="U701">
        <v>33.994999999999997</v>
      </c>
      <c r="V701">
        <v>101.98499999999999</v>
      </c>
      <c r="W701">
        <v>135.97999999999999</v>
      </c>
      <c r="X701">
        <v>1.9610727067706037E-2</v>
      </c>
    </row>
    <row r="702" spans="1:24" x14ac:dyDescent="0.3">
      <c r="A702" t="s">
        <v>4576</v>
      </c>
      <c r="B702" t="s">
        <v>4577</v>
      </c>
      <c r="C702" s="1">
        <v>42724</v>
      </c>
      <c r="D702" s="1">
        <v>42729</v>
      </c>
      <c r="E702" t="s">
        <v>54</v>
      </c>
      <c r="F702" t="s">
        <v>4578</v>
      </c>
      <c r="G702" t="s">
        <v>4579</v>
      </c>
      <c r="H702" t="s">
        <v>29</v>
      </c>
      <c r="I702" t="s">
        <v>30</v>
      </c>
      <c r="J702" t="s">
        <v>847</v>
      </c>
      <c r="K702" t="s">
        <v>320</v>
      </c>
      <c r="L702" t="s">
        <v>848</v>
      </c>
      <c r="M702" t="s">
        <v>34</v>
      </c>
      <c r="N702" t="s">
        <v>4580</v>
      </c>
      <c r="O702" t="s">
        <v>49</v>
      </c>
      <c r="P702" t="s">
        <v>101</v>
      </c>
      <c r="Q702" t="s">
        <v>4581</v>
      </c>
      <c r="R702">
        <v>43.512</v>
      </c>
      <c r="S702">
        <v>7</v>
      </c>
      <c r="T702">
        <v>0.2</v>
      </c>
      <c r="U702">
        <v>3.8073000000000001</v>
      </c>
      <c r="V702">
        <v>39.704700000000003</v>
      </c>
      <c r="W702">
        <v>34.809600000000003</v>
      </c>
      <c r="X702">
        <v>0.17630154616455984</v>
      </c>
    </row>
    <row r="703" spans="1:24" x14ac:dyDescent="0.3">
      <c r="A703" t="s">
        <v>4582</v>
      </c>
      <c r="B703" t="s">
        <v>4583</v>
      </c>
      <c r="C703" s="1">
        <v>43698</v>
      </c>
      <c r="D703" s="1">
        <v>43699</v>
      </c>
      <c r="E703" t="s">
        <v>180</v>
      </c>
      <c r="F703" t="s">
        <v>4584</v>
      </c>
      <c r="G703" t="s">
        <v>4585</v>
      </c>
      <c r="H703" t="s">
        <v>29</v>
      </c>
      <c r="I703" t="s">
        <v>30</v>
      </c>
      <c r="J703" t="s">
        <v>2711</v>
      </c>
      <c r="K703" t="s">
        <v>45</v>
      </c>
      <c r="L703" t="s">
        <v>2712</v>
      </c>
      <c r="M703" t="s">
        <v>47</v>
      </c>
      <c r="N703" t="s">
        <v>2607</v>
      </c>
      <c r="O703" t="s">
        <v>49</v>
      </c>
      <c r="P703" t="s">
        <v>129</v>
      </c>
      <c r="Q703" t="s">
        <v>2608</v>
      </c>
      <c r="R703">
        <v>17.12</v>
      </c>
      <c r="S703">
        <v>4</v>
      </c>
      <c r="T703">
        <v>0</v>
      </c>
      <c r="U703">
        <v>4.9648000000000003</v>
      </c>
      <c r="V703">
        <v>12.155200000000001</v>
      </c>
      <c r="W703">
        <v>17.12</v>
      </c>
      <c r="X703">
        <v>0.32907726734237197</v>
      </c>
    </row>
    <row r="704" spans="1:24" x14ac:dyDescent="0.3">
      <c r="A704" t="s">
        <v>4586</v>
      </c>
      <c r="B704" t="s">
        <v>4587</v>
      </c>
      <c r="C704" s="1">
        <v>42400</v>
      </c>
      <c r="D704" s="1">
        <v>42402</v>
      </c>
      <c r="E704" t="s">
        <v>180</v>
      </c>
      <c r="F704" t="s">
        <v>4588</v>
      </c>
      <c r="G704" t="s">
        <v>4589</v>
      </c>
      <c r="H704" t="s">
        <v>29</v>
      </c>
      <c r="I704" t="s">
        <v>30</v>
      </c>
      <c r="J704" t="s">
        <v>1847</v>
      </c>
      <c r="K704" t="s">
        <v>45</v>
      </c>
      <c r="L704" t="s">
        <v>1848</v>
      </c>
      <c r="M704" t="s">
        <v>47</v>
      </c>
      <c r="N704" t="s">
        <v>4590</v>
      </c>
      <c r="O704" t="s">
        <v>36</v>
      </c>
      <c r="P704" t="s">
        <v>37</v>
      </c>
      <c r="Q704" t="s">
        <v>4591</v>
      </c>
      <c r="R704">
        <v>290.666</v>
      </c>
      <c r="S704">
        <v>2</v>
      </c>
      <c r="T704">
        <v>0.15</v>
      </c>
      <c r="U704">
        <v>3.4196</v>
      </c>
      <c r="V704">
        <v>287.24639999999999</v>
      </c>
      <c r="W704">
        <v>247.06609999999998</v>
      </c>
      <c r="X704">
        <v>6.9626634137103204E-3</v>
      </c>
    </row>
    <row r="705" spans="1:24" x14ac:dyDescent="0.3">
      <c r="A705" t="s">
        <v>4592</v>
      </c>
      <c r="B705" t="s">
        <v>4593</v>
      </c>
      <c r="C705" s="1">
        <v>43405</v>
      </c>
      <c r="D705" s="1">
        <v>43408</v>
      </c>
      <c r="E705" t="s">
        <v>180</v>
      </c>
      <c r="F705" t="s">
        <v>4594</v>
      </c>
      <c r="G705" t="s">
        <v>4595</v>
      </c>
      <c r="H705" t="s">
        <v>43</v>
      </c>
      <c r="I705" t="s">
        <v>30</v>
      </c>
      <c r="J705" t="s">
        <v>4596</v>
      </c>
      <c r="K705" t="s">
        <v>97</v>
      </c>
      <c r="L705" t="s">
        <v>4597</v>
      </c>
      <c r="M705" t="s">
        <v>99</v>
      </c>
      <c r="N705" t="s">
        <v>4598</v>
      </c>
      <c r="O705" t="s">
        <v>49</v>
      </c>
      <c r="P705" t="s">
        <v>111</v>
      </c>
      <c r="Q705" t="s">
        <v>4599</v>
      </c>
      <c r="R705">
        <v>111.672</v>
      </c>
      <c r="S705">
        <v>9</v>
      </c>
      <c r="T705">
        <v>0.2</v>
      </c>
      <c r="U705">
        <v>6.9794999999999998</v>
      </c>
      <c r="V705">
        <v>104.6925</v>
      </c>
      <c r="W705">
        <v>89.337600000000009</v>
      </c>
      <c r="X705">
        <v>8.5966043412851925E-2</v>
      </c>
    </row>
    <row r="706" spans="1:24" x14ac:dyDescent="0.3">
      <c r="A706" t="s">
        <v>4600</v>
      </c>
      <c r="B706" t="s">
        <v>4601</v>
      </c>
      <c r="C706" s="1">
        <v>42695</v>
      </c>
      <c r="D706" s="1">
        <v>42700</v>
      </c>
      <c r="E706" t="s">
        <v>54</v>
      </c>
      <c r="F706" t="s">
        <v>4602</v>
      </c>
      <c r="G706" t="s">
        <v>4603</v>
      </c>
      <c r="H706" t="s">
        <v>43</v>
      </c>
      <c r="I706" t="s">
        <v>30</v>
      </c>
      <c r="J706" t="s">
        <v>1715</v>
      </c>
      <c r="K706" t="s">
        <v>32</v>
      </c>
      <c r="L706" t="s">
        <v>1716</v>
      </c>
      <c r="M706" t="s">
        <v>34</v>
      </c>
      <c r="N706" t="s">
        <v>2481</v>
      </c>
      <c r="O706" t="s">
        <v>186</v>
      </c>
      <c r="P706" t="s">
        <v>187</v>
      </c>
      <c r="Q706" t="s">
        <v>2482</v>
      </c>
      <c r="R706">
        <v>36.99</v>
      </c>
      <c r="S706">
        <v>1</v>
      </c>
      <c r="T706">
        <v>0</v>
      </c>
      <c r="U706">
        <v>9.9872999999999994</v>
      </c>
      <c r="V706">
        <v>27.002700000000004</v>
      </c>
      <c r="W706">
        <v>36.99</v>
      </c>
      <c r="X706">
        <v>3.7033333703666661E-2</v>
      </c>
    </row>
    <row r="707" spans="1:24" x14ac:dyDescent="0.3">
      <c r="A707" t="s">
        <v>4604</v>
      </c>
      <c r="B707" t="s">
        <v>4605</v>
      </c>
      <c r="C707" s="1">
        <v>43310</v>
      </c>
      <c r="D707" s="1">
        <v>43314</v>
      </c>
      <c r="E707" t="s">
        <v>54</v>
      </c>
      <c r="F707" t="s">
        <v>4606</v>
      </c>
      <c r="G707" t="s">
        <v>4607</v>
      </c>
      <c r="H707" t="s">
        <v>43</v>
      </c>
      <c r="I707" t="s">
        <v>30</v>
      </c>
      <c r="J707" t="s">
        <v>144</v>
      </c>
      <c r="K707" t="s">
        <v>145</v>
      </c>
      <c r="L707" t="s">
        <v>146</v>
      </c>
      <c r="M707" t="s">
        <v>147</v>
      </c>
      <c r="N707" t="s">
        <v>237</v>
      </c>
      <c r="O707" t="s">
        <v>49</v>
      </c>
      <c r="P707" t="s">
        <v>111</v>
      </c>
      <c r="Q707" t="s">
        <v>238</v>
      </c>
      <c r="R707">
        <v>84.784000000000006</v>
      </c>
      <c r="S707">
        <v>2</v>
      </c>
      <c r="T707">
        <v>0.2</v>
      </c>
      <c r="U707">
        <v>-16.956800000000001</v>
      </c>
      <c r="V707">
        <v>101.74080000000001</v>
      </c>
      <c r="W707">
        <v>67.827200000000005</v>
      </c>
      <c r="X707">
        <v>1.9657797068629301E-2</v>
      </c>
    </row>
    <row r="708" spans="1:24" x14ac:dyDescent="0.3">
      <c r="A708" t="s">
        <v>4608</v>
      </c>
      <c r="B708" t="s">
        <v>4609</v>
      </c>
      <c r="C708" s="1">
        <v>43318</v>
      </c>
      <c r="D708" s="1">
        <v>43319</v>
      </c>
      <c r="E708" t="s">
        <v>180</v>
      </c>
      <c r="F708" t="s">
        <v>4610</v>
      </c>
      <c r="G708" t="s">
        <v>4611</v>
      </c>
      <c r="H708" t="s">
        <v>43</v>
      </c>
      <c r="I708" t="s">
        <v>30</v>
      </c>
      <c r="J708" t="s">
        <v>261</v>
      </c>
      <c r="K708" t="s">
        <v>262</v>
      </c>
      <c r="L708" t="s">
        <v>263</v>
      </c>
      <c r="M708" t="s">
        <v>147</v>
      </c>
      <c r="N708" t="s">
        <v>4612</v>
      </c>
      <c r="O708" t="s">
        <v>49</v>
      </c>
      <c r="P708" t="s">
        <v>79</v>
      </c>
      <c r="Q708" t="s">
        <v>177</v>
      </c>
      <c r="R708">
        <v>70.88</v>
      </c>
      <c r="S708">
        <v>2</v>
      </c>
      <c r="T708">
        <v>0</v>
      </c>
      <c r="U708">
        <v>33.313600000000001</v>
      </c>
      <c r="V708">
        <v>37.566399999999994</v>
      </c>
      <c r="W708">
        <v>70.88</v>
      </c>
      <c r="X708">
        <v>5.3239064696111428E-2</v>
      </c>
    </row>
    <row r="709" spans="1:24" x14ac:dyDescent="0.3">
      <c r="A709" t="s">
        <v>4613</v>
      </c>
      <c r="B709" t="s">
        <v>4614</v>
      </c>
      <c r="C709" s="1">
        <v>43429</v>
      </c>
      <c r="D709" s="1">
        <v>43434</v>
      </c>
      <c r="E709" t="s">
        <v>54</v>
      </c>
      <c r="F709" t="s">
        <v>4615</v>
      </c>
      <c r="G709" t="s">
        <v>4616</v>
      </c>
      <c r="H709" t="s">
        <v>95</v>
      </c>
      <c r="I709" t="s">
        <v>30</v>
      </c>
      <c r="J709" t="s">
        <v>1359</v>
      </c>
      <c r="K709" t="s">
        <v>58</v>
      </c>
      <c r="L709" t="s">
        <v>1360</v>
      </c>
      <c r="M709" t="s">
        <v>34</v>
      </c>
      <c r="N709" t="s">
        <v>4617</v>
      </c>
      <c r="O709" t="s">
        <v>49</v>
      </c>
      <c r="P709" t="s">
        <v>79</v>
      </c>
      <c r="Q709" t="s">
        <v>4618</v>
      </c>
      <c r="R709">
        <v>5.08</v>
      </c>
      <c r="S709">
        <v>1</v>
      </c>
      <c r="T709">
        <v>0.2</v>
      </c>
      <c r="U709">
        <v>1.651</v>
      </c>
      <c r="V709">
        <v>3.4290000000000003</v>
      </c>
      <c r="W709">
        <v>4.0640000000000001</v>
      </c>
      <c r="X709">
        <v>0.29163021289005536</v>
      </c>
    </row>
    <row r="710" spans="1:24" x14ac:dyDescent="0.3">
      <c r="A710" t="s">
        <v>4619</v>
      </c>
      <c r="B710" t="s">
        <v>4620</v>
      </c>
      <c r="C710" s="1">
        <v>42831</v>
      </c>
      <c r="D710" s="1">
        <v>42835</v>
      </c>
      <c r="E710" t="s">
        <v>54</v>
      </c>
      <c r="F710" t="s">
        <v>4621</v>
      </c>
      <c r="G710" t="s">
        <v>4622</v>
      </c>
      <c r="H710" t="s">
        <v>29</v>
      </c>
      <c r="I710" t="s">
        <v>30</v>
      </c>
      <c r="J710" t="s">
        <v>1359</v>
      </c>
      <c r="K710" t="s">
        <v>76</v>
      </c>
      <c r="L710" t="s">
        <v>3047</v>
      </c>
      <c r="M710" t="s">
        <v>34</v>
      </c>
      <c r="N710" t="s">
        <v>2290</v>
      </c>
      <c r="O710" t="s">
        <v>49</v>
      </c>
      <c r="P710" t="s">
        <v>79</v>
      </c>
      <c r="Q710" t="s">
        <v>2291</v>
      </c>
      <c r="R710">
        <v>47.951999999999998</v>
      </c>
      <c r="S710">
        <v>3</v>
      </c>
      <c r="T710">
        <v>0.2</v>
      </c>
      <c r="U710">
        <v>16.183800000000002</v>
      </c>
      <c r="V710">
        <v>31.768199999999997</v>
      </c>
      <c r="W710">
        <v>38.361600000000003</v>
      </c>
      <c r="X710">
        <v>9.4434056698207647E-2</v>
      </c>
    </row>
    <row r="711" spans="1:24" x14ac:dyDescent="0.3">
      <c r="A711" t="s">
        <v>4623</v>
      </c>
      <c r="B711" t="s">
        <v>4624</v>
      </c>
      <c r="C711" s="1">
        <v>43565</v>
      </c>
      <c r="D711" s="1">
        <v>43565</v>
      </c>
      <c r="E711" t="s">
        <v>1152</v>
      </c>
      <c r="F711" t="s">
        <v>4625</v>
      </c>
      <c r="G711" t="s">
        <v>4626</v>
      </c>
      <c r="H711" t="s">
        <v>29</v>
      </c>
      <c r="I711" t="s">
        <v>30</v>
      </c>
      <c r="J711" t="s">
        <v>2047</v>
      </c>
      <c r="K711" t="s">
        <v>97</v>
      </c>
      <c r="L711" t="s">
        <v>2048</v>
      </c>
      <c r="M711" t="s">
        <v>99</v>
      </c>
      <c r="N711" t="s">
        <v>4627</v>
      </c>
      <c r="O711" t="s">
        <v>49</v>
      </c>
      <c r="P711" t="s">
        <v>79</v>
      </c>
      <c r="Q711" t="s">
        <v>4628</v>
      </c>
      <c r="R711">
        <v>10.368</v>
      </c>
      <c r="S711">
        <v>2</v>
      </c>
      <c r="T711">
        <v>0.2</v>
      </c>
      <c r="U711">
        <v>3.6288</v>
      </c>
      <c r="V711">
        <v>6.7392000000000003</v>
      </c>
      <c r="W711">
        <v>8.2944000000000013</v>
      </c>
      <c r="X711">
        <v>0.29677113010446343</v>
      </c>
    </row>
    <row r="712" spans="1:24" x14ac:dyDescent="0.3">
      <c r="A712" t="s">
        <v>4629</v>
      </c>
      <c r="B712" t="s">
        <v>4630</v>
      </c>
      <c r="C712" s="1">
        <v>42541</v>
      </c>
      <c r="D712" s="1">
        <v>42545</v>
      </c>
      <c r="E712" t="s">
        <v>54</v>
      </c>
      <c r="F712" t="s">
        <v>4631</v>
      </c>
      <c r="G712" t="s">
        <v>4632</v>
      </c>
      <c r="H712" t="s">
        <v>29</v>
      </c>
      <c r="I712" t="s">
        <v>30</v>
      </c>
      <c r="J712" t="s">
        <v>4633</v>
      </c>
      <c r="K712" t="s">
        <v>97</v>
      </c>
      <c r="L712" t="s">
        <v>4634</v>
      </c>
      <c r="M712" t="s">
        <v>99</v>
      </c>
      <c r="N712" t="s">
        <v>4635</v>
      </c>
      <c r="O712" t="s">
        <v>186</v>
      </c>
      <c r="P712" t="s">
        <v>187</v>
      </c>
      <c r="Q712" t="s">
        <v>4636</v>
      </c>
      <c r="R712">
        <v>201.584</v>
      </c>
      <c r="S712">
        <v>2</v>
      </c>
      <c r="T712">
        <v>0.2</v>
      </c>
      <c r="U712">
        <v>20.1584</v>
      </c>
      <c r="V712">
        <v>181.4256</v>
      </c>
      <c r="W712">
        <v>161.2672</v>
      </c>
      <c r="X712">
        <v>1.1023802594562178E-2</v>
      </c>
    </row>
    <row r="713" spans="1:24" x14ac:dyDescent="0.3">
      <c r="A713" t="s">
        <v>4637</v>
      </c>
      <c r="B713" t="s">
        <v>4638</v>
      </c>
      <c r="C713" s="1">
        <v>43809</v>
      </c>
      <c r="D713" s="1">
        <v>43814</v>
      </c>
      <c r="E713" t="s">
        <v>26</v>
      </c>
      <c r="F713" t="s">
        <v>4639</v>
      </c>
      <c r="G713" t="s">
        <v>4640</v>
      </c>
      <c r="H713" t="s">
        <v>95</v>
      </c>
      <c r="I713" t="s">
        <v>30</v>
      </c>
      <c r="J713" t="s">
        <v>1328</v>
      </c>
      <c r="K713" t="s">
        <v>1329</v>
      </c>
      <c r="L713" t="s">
        <v>1330</v>
      </c>
      <c r="M713" t="s">
        <v>34</v>
      </c>
      <c r="N713" t="s">
        <v>4641</v>
      </c>
      <c r="O713" t="s">
        <v>186</v>
      </c>
      <c r="P713" t="s">
        <v>228</v>
      </c>
      <c r="Q713" t="s">
        <v>4642</v>
      </c>
      <c r="R713">
        <v>599.97</v>
      </c>
      <c r="S713">
        <v>3</v>
      </c>
      <c r="T713">
        <v>0</v>
      </c>
      <c r="U713">
        <v>257.9871</v>
      </c>
      <c r="V713">
        <v>341.98290000000003</v>
      </c>
      <c r="W713">
        <v>599.97</v>
      </c>
      <c r="X713">
        <v>8.7723684429835518E-3</v>
      </c>
    </row>
    <row r="714" spans="1:24" x14ac:dyDescent="0.3">
      <c r="A714" t="s">
        <v>4643</v>
      </c>
      <c r="B714" t="s">
        <v>4644</v>
      </c>
      <c r="C714" s="1">
        <v>43645</v>
      </c>
      <c r="D714" s="1">
        <v>43650</v>
      </c>
      <c r="E714" t="s">
        <v>54</v>
      </c>
      <c r="F714" t="s">
        <v>4645</v>
      </c>
      <c r="G714" t="s">
        <v>4646</v>
      </c>
      <c r="H714" t="s">
        <v>43</v>
      </c>
      <c r="I714" t="s">
        <v>30</v>
      </c>
      <c r="J714" t="s">
        <v>4647</v>
      </c>
      <c r="K714" t="s">
        <v>97</v>
      </c>
      <c r="L714" t="s">
        <v>4648</v>
      </c>
      <c r="M714" t="s">
        <v>99</v>
      </c>
      <c r="N714" t="s">
        <v>2200</v>
      </c>
      <c r="O714" t="s">
        <v>49</v>
      </c>
      <c r="P714" t="s">
        <v>79</v>
      </c>
      <c r="Q714" t="s">
        <v>2201</v>
      </c>
      <c r="R714">
        <v>5.1840000000000002</v>
      </c>
      <c r="S714">
        <v>1</v>
      </c>
      <c r="T714">
        <v>0.2</v>
      </c>
      <c r="U714">
        <v>1.8144</v>
      </c>
      <c r="V714">
        <v>3.3696000000000002</v>
      </c>
      <c r="W714">
        <v>4.1472000000000007</v>
      </c>
      <c r="X714">
        <v>0.29677113010446343</v>
      </c>
    </row>
    <row r="715" spans="1:24" x14ac:dyDescent="0.3">
      <c r="A715" t="s">
        <v>4649</v>
      </c>
      <c r="B715" t="s">
        <v>4650</v>
      </c>
      <c r="C715" s="1">
        <v>42691</v>
      </c>
      <c r="D715" s="1">
        <v>42698</v>
      </c>
      <c r="E715" t="s">
        <v>54</v>
      </c>
      <c r="F715" t="s">
        <v>4651</v>
      </c>
      <c r="G715" t="s">
        <v>4652</v>
      </c>
      <c r="H715" t="s">
        <v>29</v>
      </c>
      <c r="I715" t="s">
        <v>30</v>
      </c>
      <c r="J715" t="s">
        <v>144</v>
      </c>
      <c r="K715" t="s">
        <v>145</v>
      </c>
      <c r="L715" t="s">
        <v>1052</v>
      </c>
      <c r="M715" t="s">
        <v>147</v>
      </c>
      <c r="N715" t="s">
        <v>4653</v>
      </c>
      <c r="O715" t="s">
        <v>49</v>
      </c>
      <c r="P715" t="s">
        <v>79</v>
      </c>
      <c r="Q715" t="s">
        <v>4654</v>
      </c>
      <c r="R715">
        <v>12.448</v>
      </c>
      <c r="S715">
        <v>2</v>
      </c>
      <c r="T715">
        <v>0.2</v>
      </c>
      <c r="U715">
        <v>3.89</v>
      </c>
      <c r="V715">
        <v>8.5579999999999998</v>
      </c>
      <c r="W715">
        <v>9.958400000000001</v>
      </c>
      <c r="X715">
        <v>0.23369946249123627</v>
      </c>
    </row>
    <row r="716" spans="1:24" x14ac:dyDescent="0.3">
      <c r="A716" t="s">
        <v>4655</v>
      </c>
      <c r="B716" t="s">
        <v>4656</v>
      </c>
      <c r="C716" s="1">
        <v>43433</v>
      </c>
      <c r="D716" s="1">
        <v>43435</v>
      </c>
      <c r="E716" t="s">
        <v>26</v>
      </c>
      <c r="F716" t="s">
        <v>4657</v>
      </c>
      <c r="G716" t="s">
        <v>4658</v>
      </c>
      <c r="H716" t="s">
        <v>43</v>
      </c>
      <c r="I716" t="s">
        <v>30</v>
      </c>
      <c r="J716" t="s">
        <v>782</v>
      </c>
      <c r="K716" t="s">
        <v>97</v>
      </c>
      <c r="L716" t="s">
        <v>1769</v>
      </c>
      <c r="M716" t="s">
        <v>99</v>
      </c>
      <c r="N716" t="s">
        <v>4659</v>
      </c>
      <c r="O716" t="s">
        <v>186</v>
      </c>
      <c r="P716" t="s">
        <v>228</v>
      </c>
      <c r="Q716" t="s">
        <v>4660</v>
      </c>
      <c r="R716">
        <v>58.415999999999997</v>
      </c>
      <c r="S716">
        <v>2</v>
      </c>
      <c r="T716">
        <v>0.2</v>
      </c>
      <c r="U716">
        <v>16.794599999999999</v>
      </c>
      <c r="V716">
        <v>41.621399999999994</v>
      </c>
      <c r="W716">
        <v>46.732799999999997</v>
      </c>
      <c r="X716">
        <v>4.8052203914332535E-2</v>
      </c>
    </row>
    <row r="717" spans="1:24" x14ac:dyDescent="0.3">
      <c r="A717" t="s">
        <v>4661</v>
      </c>
      <c r="B717" t="s">
        <v>4662</v>
      </c>
      <c r="C717" s="1">
        <v>43588</v>
      </c>
      <c r="D717" s="1">
        <v>43593</v>
      </c>
      <c r="E717" t="s">
        <v>26</v>
      </c>
      <c r="F717" t="s">
        <v>4663</v>
      </c>
      <c r="G717" t="s">
        <v>4664</v>
      </c>
      <c r="H717" t="s">
        <v>43</v>
      </c>
      <c r="I717" t="s">
        <v>30</v>
      </c>
      <c r="J717" t="s">
        <v>44</v>
      </c>
      <c r="K717" t="s">
        <v>45</v>
      </c>
      <c r="L717" t="s">
        <v>279</v>
      </c>
      <c r="M717" t="s">
        <v>47</v>
      </c>
      <c r="N717" t="s">
        <v>4665</v>
      </c>
      <c r="O717" t="s">
        <v>49</v>
      </c>
      <c r="P717" t="s">
        <v>111</v>
      </c>
      <c r="Q717" t="s">
        <v>4666</v>
      </c>
      <c r="R717">
        <v>69.52</v>
      </c>
      <c r="S717">
        <v>2</v>
      </c>
      <c r="T717">
        <v>0</v>
      </c>
      <c r="U717">
        <v>19.465599999999998</v>
      </c>
      <c r="V717">
        <v>50.054400000000001</v>
      </c>
      <c r="W717">
        <v>69.52</v>
      </c>
      <c r="X717">
        <v>3.9956527298299446E-2</v>
      </c>
    </row>
    <row r="718" spans="1:24" x14ac:dyDescent="0.3">
      <c r="A718" t="s">
        <v>4667</v>
      </c>
      <c r="B718" t="s">
        <v>4668</v>
      </c>
      <c r="C718" s="1">
        <v>43109</v>
      </c>
      <c r="D718" s="1">
        <v>43113</v>
      </c>
      <c r="E718" t="s">
        <v>26</v>
      </c>
      <c r="F718" t="s">
        <v>4669</v>
      </c>
      <c r="G718" t="s">
        <v>4670</v>
      </c>
      <c r="H718" t="s">
        <v>43</v>
      </c>
      <c r="I718" t="s">
        <v>30</v>
      </c>
      <c r="J718" t="s">
        <v>2651</v>
      </c>
      <c r="K718" t="s">
        <v>476</v>
      </c>
      <c r="L718" t="s">
        <v>2652</v>
      </c>
      <c r="M718" t="s">
        <v>147</v>
      </c>
      <c r="N718" t="s">
        <v>4671</v>
      </c>
      <c r="O718" t="s">
        <v>36</v>
      </c>
      <c r="P718" t="s">
        <v>69</v>
      </c>
      <c r="Q718" t="s">
        <v>4672</v>
      </c>
      <c r="R718">
        <v>15.167999999999999</v>
      </c>
      <c r="S718">
        <v>2</v>
      </c>
      <c r="T718">
        <v>0.2</v>
      </c>
      <c r="U718">
        <v>3.7919999999999998</v>
      </c>
      <c r="V718">
        <v>11.375999999999999</v>
      </c>
      <c r="W718">
        <v>12.134399999999999</v>
      </c>
      <c r="X718">
        <v>0.17580872011251758</v>
      </c>
    </row>
    <row r="719" spans="1:24" x14ac:dyDescent="0.3">
      <c r="A719" t="s">
        <v>4673</v>
      </c>
      <c r="B719" t="s">
        <v>4674</v>
      </c>
      <c r="C719" s="1">
        <v>43530</v>
      </c>
      <c r="D719" s="1">
        <v>43535</v>
      </c>
      <c r="E719" t="s">
        <v>26</v>
      </c>
      <c r="F719" t="s">
        <v>4675</v>
      </c>
      <c r="G719" t="s">
        <v>4676</v>
      </c>
      <c r="H719" t="s">
        <v>29</v>
      </c>
      <c r="I719" t="s">
        <v>30</v>
      </c>
      <c r="J719" t="s">
        <v>261</v>
      </c>
      <c r="K719" t="s">
        <v>262</v>
      </c>
      <c r="L719" t="s">
        <v>1788</v>
      </c>
      <c r="M719" t="s">
        <v>147</v>
      </c>
      <c r="N719" t="s">
        <v>4677</v>
      </c>
      <c r="O719" t="s">
        <v>49</v>
      </c>
      <c r="P719" t="s">
        <v>79</v>
      </c>
      <c r="Q719" t="s">
        <v>4678</v>
      </c>
      <c r="R719">
        <v>26.38</v>
      </c>
      <c r="S719">
        <v>1</v>
      </c>
      <c r="T719">
        <v>0</v>
      </c>
      <c r="U719">
        <v>12.1348</v>
      </c>
      <c r="V719">
        <v>14.245199999999999</v>
      </c>
      <c r="W719">
        <v>26.38</v>
      </c>
      <c r="X719">
        <v>7.0199084603936771E-2</v>
      </c>
    </row>
    <row r="720" spans="1:24" x14ac:dyDescent="0.3">
      <c r="A720" t="s">
        <v>4679</v>
      </c>
      <c r="B720" t="s">
        <v>4680</v>
      </c>
      <c r="C720" s="1">
        <v>43176</v>
      </c>
      <c r="D720" s="1">
        <v>43176</v>
      </c>
      <c r="E720" t="s">
        <v>1152</v>
      </c>
      <c r="F720" t="s">
        <v>4681</v>
      </c>
      <c r="G720" t="s">
        <v>4682</v>
      </c>
      <c r="H720" t="s">
        <v>29</v>
      </c>
      <c r="I720" t="s">
        <v>30</v>
      </c>
      <c r="J720" t="s">
        <v>574</v>
      </c>
      <c r="K720" t="s">
        <v>244</v>
      </c>
      <c r="L720" t="s">
        <v>4683</v>
      </c>
      <c r="M720" t="s">
        <v>147</v>
      </c>
      <c r="N720" t="s">
        <v>4684</v>
      </c>
      <c r="O720" t="s">
        <v>186</v>
      </c>
      <c r="P720" t="s">
        <v>187</v>
      </c>
      <c r="Q720" t="s">
        <v>4685</v>
      </c>
      <c r="R720">
        <v>129.97999999999999</v>
      </c>
      <c r="S720">
        <v>2</v>
      </c>
      <c r="T720">
        <v>0</v>
      </c>
      <c r="U720">
        <v>62.3904</v>
      </c>
      <c r="V720">
        <v>67.58959999999999</v>
      </c>
      <c r="W720">
        <v>129.97999999999999</v>
      </c>
      <c r="X720">
        <v>2.9590351178287788E-2</v>
      </c>
    </row>
    <row r="721" spans="1:24" x14ac:dyDescent="0.3">
      <c r="A721" t="s">
        <v>4686</v>
      </c>
      <c r="B721" t="s">
        <v>4687</v>
      </c>
      <c r="C721" s="1">
        <v>42396</v>
      </c>
      <c r="D721" s="1">
        <v>42402</v>
      </c>
      <c r="E721" t="s">
        <v>54</v>
      </c>
      <c r="F721" t="s">
        <v>4688</v>
      </c>
      <c r="G721" t="s">
        <v>4689</v>
      </c>
      <c r="H721" t="s">
        <v>29</v>
      </c>
      <c r="I721" t="s">
        <v>30</v>
      </c>
      <c r="J721" t="s">
        <v>887</v>
      </c>
      <c r="K721" t="s">
        <v>45</v>
      </c>
      <c r="L721" t="s">
        <v>888</v>
      </c>
      <c r="M721" t="s">
        <v>47</v>
      </c>
      <c r="N721" t="s">
        <v>4690</v>
      </c>
      <c r="O721" t="s">
        <v>49</v>
      </c>
      <c r="P721" t="s">
        <v>111</v>
      </c>
      <c r="Q721" t="s">
        <v>4691</v>
      </c>
      <c r="R721">
        <v>57.23</v>
      </c>
      <c r="S721">
        <v>1</v>
      </c>
      <c r="T721">
        <v>0</v>
      </c>
      <c r="U721">
        <v>14.307499999999999</v>
      </c>
      <c r="V721">
        <v>42.922499999999999</v>
      </c>
      <c r="W721">
        <v>57.23</v>
      </c>
      <c r="X721">
        <v>2.3297804181955852E-2</v>
      </c>
    </row>
    <row r="722" spans="1:24" x14ac:dyDescent="0.3">
      <c r="A722" t="s">
        <v>4692</v>
      </c>
      <c r="B722" t="s">
        <v>4693</v>
      </c>
      <c r="C722" s="1">
        <v>43387</v>
      </c>
      <c r="D722" s="1">
        <v>43393</v>
      </c>
      <c r="E722" t="s">
        <v>54</v>
      </c>
      <c r="F722" t="s">
        <v>4694</v>
      </c>
      <c r="G722" t="s">
        <v>4695</v>
      </c>
      <c r="H722" t="s">
        <v>29</v>
      </c>
      <c r="I722" t="s">
        <v>30</v>
      </c>
      <c r="J722" t="s">
        <v>1359</v>
      </c>
      <c r="K722" t="s">
        <v>76</v>
      </c>
      <c r="L722" t="s">
        <v>3047</v>
      </c>
      <c r="M722" t="s">
        <v>34</v>
      </c>
      <c r="N722" t="s">
        <v>4696</v>
      </c>
      <c r="O722" t="s">
        <v>36</v>
      </c>
      <c r="P722" t="s">
        <v>149</v>
      </c>
      <c r="Q722" t="s">
        <v>4697</v>
      </c>
      <c r="R722">
        <v>102.592</v>
      </c>
      <c r="S722">
        <v>1</v>
      </c>
      <c r="T722">
        <v>0.2</v>
      </c>
      <c r="U722">
        <v>10.2592</v>
      </c>
      <c r="V722">
        <v>92.332799999999992</v>
      </c>
      <c r="W722">
        <v>82.073599999999999</v>
      </c>
      <c r="X722">
        <v>1.0830387467942054E-2</v>
      </c>
    </row>
    <row r="723" spans="1:24" x14ac:dyDescent="0.3">
      <c r="A723" t="s">
        <v>4698</v>
      </c>
      <c r="B723" t="s">
        <v>4699</v>
      </c>
      <c r="C723" s="1">
        <v>43053</v>
      </c>
      <c r="D723" s="1">
        <v>43058</v>
      </c>
      <c r="E723" t="s">
        <v>54</v>
      </c>
      <c r="F723" t="s">
        <v>4700</v>
      </c>
      <c r="G723" t="s">
        <v>4701</v>
      </c>
      <c r="H723" t="s">
        <v>29</v>
      </c>
      <c r="I723" t="s">
        <v>30</v>
      </c>
      <c r="J723" t="s">
        <v>243</v>
      </c>
      <c r="K723" t="s">
        <v>244</v>
      </c>
      <c r="L723" t="s">
        <v>245</v>
      </c>
      <c r="M723" t="s">
        <v>147</v>
      </c>
      <c r="N723" t="s">
        <v>4702</v>
      </c>
      <c r="O723" t="s">
        <v>36</v>
      </c>
      <c r="P723" t="s">
        <v>69</v>
      </c>
      <c r="Q723" t="s">
        <v>4703</v>
      </c>
      <c r="R723">
        <v>76.14</v>
      </c>
      <c r="S723">
        <v>3</v>
      </c>
      <c r="T723">
        <v>0</v>
      </c>
      <c r="U723">
        <v>26.649000000000001</v>
      </c>
      <c r="V723">
        <v>49.491</v>
      </c>
      <c r="W723">
        <v>76.14</v>
      </c>
      <c r="X723">
        <v>6.0617081893677642E-2</v>
      </c>
    </row>
    <row r="724" spans="1:24" x14ac:dyDescent="0.3">
      <c r="A724" t="s">
        <v>4704</v>
      </c>
      <c r="B724" t="s">
        <v>4705</v>
      </c>
      <c r="C724" s="1">
        <v>42529</v>
      </c>
      <c r="D724" s="1">
        <v>42533</v>
      </c>
      <c r="E724" t="s">
        <v>54</v>
      </c>
      <c r="F724" t="s">
        <v>4706</v>
      </c>
      <c r="G724" t="s">
        <v>4707</v>
      </c>
      <c r="H724" t="s">
        <v>43</v>
      </c>
      <c r="I724" t="s">
        <v>30</v>
      </c>
      <c r="J724" t="s">
        <v>490</v>
      </c>
      <c r="K724" t="s">
        <v>320</v>
      </c>
      <c r="L724" t="s">
        <v>491</v>
      </c>
      <c r="M724" t="s">
        <v>34</v>
      </c>
      <c r="N724" t="s">
        <v>2187</v>
      </c>
      <c r="O724" t="s">
        <v>36</v>
      </c>
      <c r="P724" t="s">
        <v>149</v>
      </c>
      <c r="Q724" t="s">
        <v>2188</v>
      </c>
      <c r="R724">
        <v>170.352</v>
      </c>
      <c r="S724">
        <v>3</v>
      </c>
      <c r="T724">
        <v>0.2</v>
      </c>
      <c r="U724">
        <v>10.647</v>
      </c>
      <c r="V724">
        <v>159.70500000000001</v>
      </c>
      <c r="W724">
        <v>136.2816</v>
      </c>
      <c r="X724">
        <v>1.8784634169249553E-2</v>
      </c>
    </row>
    <row r="725" spans="1:24" x14ac:dyDescent="0.3">
      <c r="A725" t="s">
        <v>4708</v>
      </c>
      <c r="B725" t="s">
        <v>4709</v>
      </c>
      <c r="C725" s="1">
        <v>42999</v>
      </c>
      <c r="D725" s="1">
        <v>42999</v>
      </c>
      <c r="E725" t="s">
        <v>1152</v>
      </c>
      <c r="F725" t="s">
        <v>4710</v>
      </c>
      <c r="G725" t="s">
        <v>4711</v>
      </c>
      <c r="H725" t="s">
        <v>95</v>
      </c>
      <c r="I725" t="s">
        <v>30</v>
      </c>
      <c r="J725" t="s">
        <v>1179</v>
      </c>
      <c r="K725" t="s">
        <v>1118</v>
      </c>
      <c r="L725" t="s">
        <v>3890</v>
      </c>
      <c r="M725" t="s">
        <v>147</v>
      </c>
      <c r="N725" t="s">
        <v>4712</v>
      </c>
      <c r="O725" t="s">
        <v>36</v>
      </c>
      <c r="P725" t="s">
        <v>69</v>
      </c>
      <c r="Q725" t="s">
        <v>4713</v>
      </c>
      <c r="R725">
        <v>85.3</v>
      </c>
      <c r="S725">
        <v>2</v>
      </c>
      <c r="T725">
        <v>0</v>
      </c>
      <c r="U725">
        <v>14.500999999999999</v>
      </c>
      <c r="V725">
        <v>70.798999999999992</v>
      </c>
      <c r="W725">
        <v>85.3</v>
      </c>
      <c r="X725">
        <v>2.8248986567606889E-2</v>
      </c>
    </row>
    <row r="726" spans="1:24" x14ac:dyDescent="0.3">
      <c r="A726" t="s">
        <v>4714</v>
      </c>
      <c r="B726" t="s">
        <v>4715</v>
      </c>
      <c r="C726" s="1">
        <v>42901</v>
      </c>
      <c r="D726" s="1">
        <v>42906</v>
      </c>
      <c r="E726" t="s">
        <v>54</v>
      </c>
      <c r="F726" t="s">
        <v>4716</v>
      </c>
      <c r="G726" t="s">
        <v>4717</v>
      </c>
      <c r="H726" t="s">
        <v>29</v>
      </c>
      <c r="I726" t="s">
        <v>30</v>
      </c>
      <c r="J726" t="s">
        <v>294</v>
      </c>
      <c r="K726" t="s">
        <v>295</v>
      </c>
      <c r="L726" t="s">
        <v>296</v>
      </c>
      <c r="M726" t="s">
        <v>47</v>
      </c>
      <c r="N726" t="s">
        <v>4718</v>
      </c>
      <c r="O726" t="s">
        <v>49</v>
      </c>
      <c r="P726" t="s">
        <v>79</v>
      </c>
      <c r="Q726" t="s">
        <v>4719</v>
      </c>
      <c r="R726">
        <v>9.5679999999999996</v>
      </c>
      <c r="S726">
        <v>2</v>
      </c>
      <c r="T726">
        <v>0.2</v>
      </c>
      <c r="U726">
        <v>2.99</v>
      </c>
      <c r="V726">
        <v>6.5779999999999994</v>
      </c>
      <c r="W726">
        <v>7.6543999999999999</v>
      </c>
      <c r="X726">
        <v>0.3040437823046519</v>
      </c>
    </row>
    <row r="727" spans="1:24" x14ac:dyDescent="0.3">
      <c r="A727" t="s">
        <v>4720</v>
      </c>
      <c r="B727" t="s">
        <v>4721</v>
      </c>
      <c r="C727" s="1">
        <v>42830</v>
      </c>
      <c r="D727" s="1">
        <v>42835</v>
      </c>
      <c r="E727" t="s">
        <v>54</v>
      </c>
      <c r="F727" t="s">
        <v>4722</v>
      </c>
      <c r="G727" t="s">
        <v>4723</v>
      </c>
      <c r="H727" t="s">
        <v>95</v>
      </c>
      <c r="I727" t="s">
        <v>30</v>
      </c>
      <c r="J727" t="s">
        <v>144</v>
      </c>
      <c r="K727" t="s">
        <v>145</v>
      </c>
      <c r="L727" t="s">
        <v>1052</v>
      </c>
      <c r="M727" t="s">
        <v>147</v>
      </c>
      <c r="N727" t="s">
        <v>4724</v>
      </c>
      <c r="O727" t="s">
        <v>49</v>
      </c>
      <c r="P727" t="s">
        <v>101</v>
      </c>
      <c r="Q727" t="s">
        <v>4725</v>
      </c>
      <c r="R727">
        <v>98.111999999999995</v>
      </c>
      <c r="S727">
        <v>7</v>
      </c>
      <c r="T727">
        <v>0.2</v>
      </c>
      <c r="U727">
        <v>18.396000000000001</v>
      </c>
      <c r="V727">
        <v>79.715999999999994</v>
      </c>
      <c r="W727">
        <v>78.489599999999996</v>
      </c>
      <c r="X727">
        <v>8.7811731647348096E-2</v>
      </c>
    </row>
    <row r="728" spans="1:24" x14ac:dyDescent="0.3">
      <c r="A728" t="s">
        <v>4726</v>
      </c>
      <c r="B728" t="s">
        <v>4727</v>
      </c>
      <c r="C728" s="1">
        <v>43274</v>
      </c>
      <c r="D728" s="1">
        <v>43281</v>
      </c>
      <c r="E728" t="s">
        <v>54</v>
      </c>
      <c r="F728" t="s">
        <v>4728</v>
      </c>
      <c r="G728" t="s">
        <v>4729</v>
      </c>
      <c r="H728" t="s">
        <v>29</v>
      </c>
      <c r="I728" t="s">
        <v>30</v>
      </c>
      <c r="J728" t="s">
        <v>2840</v>
      </c>
      <c r="K728" t="s">
        <v>262</v>
      </c>
      <c r="L728" t="s">
        <v>2841</v>
      </c>
      <c r="M728" t="s">
        <v>147</v>
      </c>
      <c r="N728" t="s">
        <v>4730</v>
      </c>
      <c r="O728" t="s">
        <v>49</v>
      </c>
      <c r="P728" t="s">
        <v>1705</v>
      </c>
      <c r="Q728" t="s">
        <v>4731</v>
      </c>
      <c r="R728">
        <v>835.17</v>
      </c>
      <c r="S728">
        <v>7</v>
      </c>
      <c r="T728">
        <v>0</v>
      </c>
      <c r="U728">
        <v>16.703399999999998</v>
      </c>
      <c r="V728">
        <v>818.46659999999997</v>
      </c>
      <c r="W728">
        <v>835.17</v>
      </c>
      <c r="X728">
        <v>8.5525786880002192E-3</v>
      </c>
    </row>
    <row r="729" spans="1:24" x14ac:dyDescent="0.3">
      <c r="A729" t="s">
        <v>4732</v>
      </c>
      <c r="B729" t="s">
        <v>4733</v>
      </c>
      <c r="C729" s="1">
        <v>42696</v>
      </c>
      <c r="D729" s="1">
        <v>42700</v>
      </c>
      <c r="E729" t="s">
        <v>54</v>
      </c>
      <c r="F729" t="s">
        <v>4734</v>
      </c>
      <c r="G729" t="s">
        <v>4735</v>
      </c>
      <c r="H729" t="s">
        <v>29</v>
      </c>
      <c r="I729" t="s">
        <v>30</v>
      </c>
      <c r="J729" t="s">
        <v>44</v>
      </c>
      <c r="K729" t="s">
        <v>45</v>
      </c>
      <c r="L729" t="s">
        <v>46</v>
      </c>
      <c r="M729" t="s">
        <v>47</v>
      </c>
      <c r="N729" t="s">
        <v>4718</v>
      </c>
      <c r="O729" t="s">
        <v>49</v>
      </c>
      <c r="P729" t="s">
        <v>79</v>
      </c>
      <c r="Q729" t="s">
        <v>4719</v>
      </c>
      <c r="R729">
        <v>53.82</v>
      </c>
      <c r="S729">
        <v>9</v>
      </c>
      <c r="T729">
        <v>0</v>
      </c>
      <c r="U729">
        <v>24.219000000000001</v>
      </c>
      <c r="V729">
        <v>29.600999999999999</v>
      </c>
      <c r="W729">
        <v>53.82</v>
      </c>
      <c r="X729">
        <v>0.3040437823046519</v>
      </c>
    </row>
    <row r="730" spans="1:24" x14ac:dyDescent="0.3">
      <c r="A730" t="s">
        <v>4736</v>
      </c>
      <c r="B730" t="s">
        <v>4737</v>
      </c>
      <c r="C730" s="1">
        <v>43207</v>
      </c>
      <c r="D730" s="1">
        <v>43212</v>
      </c>
      <c r="E730" t="s">
        <v>54</v>
      </c>
      <c r="F730" t="s">
        <v>4738</v>
      </c>
      <c r="G730" t="s">
        <v>4739</v>
      </c>
      <c r="H730" t="s">
        <v>43</v>
      </c>
      <c r="I730" t="s">
        <v>30</v>
      </c>
      <c r="J730" t="s">
        <v>847</v>
      </c>
      <c r="K730" t="s">
        <v>320</v>
      </c>
      <c r="L730" t="s">
        <v>848</v>
      </c>
      <c r="M730" t="s">
        <v>34</v>
      </c>
      <c r="N730" t="s">
        <v>4740</v>
      </c>
      <c r="O730" t="s">
        <v>36</v>
      </c>
      <c r="P730" t="s">
        <v>69</v>
      </c>
      <c r="Q730" t="s">
        <v>4741</v>
      </c>
      <c r="R730">
        <v>79.12</v>
      </c>
      <c r="S730">
        <v>5</v>
      </c>
      <c r="T730">
        <v>0.2</v>
      </c>
      <c r="U730">
        <v>13.846</v>
      </c>
      <c r="V730">
        <v>65.274000000000001</v>
      </c>
      <c r="W730">
        <v>63.296000000000006</v>
      </c>
      <c r="X730">
        <v>7.6600177712412287E-2</v>
      </c>
    </row>
    <row r="731" spans="1:24" x14ac:dyDescent="0.3">
      <c r="A731" t="s">
        <v>4742</v>
      </c>
      <c r="B731" t="s">
        <v>4743</v>
      </c>
      <c r="C731" s="1">
        <v>42802</v>
      </c>
      <c r="D731" s="1">
        <v>42806</v>
      </c>
      <c r="E731" t="s">
        <v>54</v>
      </c>
      <c r="F731" t="s">
        <v>4744</v>
      </c>
      <c r="G731" t="s">
        <v>4745</v>
      </c>
      <c r="H731" t="s">
        <v>29</v>
      </c>
      <c r="I731" t="s">
        <v>30</v>
      </c>
      <c r="J731" t="s">
        <v>3583</v>
      </c>
      <c r="K731" t="s">
        <v>108</v>
      </c>
      <c r="L731" t="s">
        <v>3584</v>
      </c>
      <c r="M731" t="s">
        <v>99</v>
      </c>
      <c r="N731" t="s">
        <v>4746</v>
      </c>
      <c r="O731" t="s">
        <v>36</v>
      </c>
      <c r="P731" t="s">
        <v>37</v>
      </c>
      <c r="Q731" t="s">
        <v>4747</v>
      </c>
      <c r="R731">
        <v>512.94000000000005</v>
      </c>
      <c r="S731">
        <v>3</v>
      </c>
      <c r="T731">
        <v>0</v>
      </c>
      <c r="U731">
        <v>97.458600000000004</v>
      </c>
      <c r="V731">
        <v>415.48140000000006</v>
      </c>
      <c r="W731">
        <v>512.94000000000005</v>
      </c>
      <c r="X731">
        <v>7.2205398364403308E-3</v>
      </c>
    </row>
    <row r="732" spans="1:24" x14ac:dyDescent="0.3">
      <c r="A732" t="s">
        <v>4748</v>
      </c>
      <c r="B732" t="s">
        <v>4749</v>
      </c>
      <c r="C732" s="1">
        <v>43079</v>
      </c>
      <c r="D732" s="1">
        <v>43085</v>
      </c>
      <c r="E732" t="s">
        <v>54</v>
      </c>
      <c r="F732" t="s">
        <v>4750</v>
      </c>
      <c r="G732" t="s">
        <v>4751</v>
      </c>
      <c r="H732" t="s">
        <v>29</v>
      </c>
      <c r="I732" t="s">
        <v>30</v>
      </c>
      <c r="J732" t="s">
        <v>2751</v>
      </c>
      <c r="K732" t="s">
        <v>1136</v>
      </c>
      <c r="L732" t="s">
        <v>2752</v>
      </c>
      <c r="M732" t="s">
        <v>34</v>
      </c>
      <c r="N732" t="s">
        <v>4752</v>
      </c>
      <c r="O732" t="s">
        <v>49</v>
      </c>
      <c r="P732" t="s">
        <v>129</v>
      </c>
      <c r="Q732" t="s">
        <v>4078</v>
      </c>
      <c r="R732">
        <v>1.78</v>
      </c>
      <c r="S732">
        <v>1</v>
      </c>
      <c r="T732">
        <v>0</v>
      </c>
      <c r="U732">
        <v>0.49840000000000001</v>
      </c>
      <c r="V732">
        <v>1.2816000000000001</v>
      </c>
      <c r="W732">
        <v>1.78</v>
      </c>
      <c r="X732">
        <v>0.78027465667915097</v>
      </c>
    </row>
    <row r="733" spans="1:24" x14ac:dyDescent="0.3">
      <c r="A733" t="s">
        <v>4753</v>
      </c>
      <c r="B733" t="s">
        <v>4754</v>
      </c>
      <c r="C733" s="1">
        <v>42543</v>
      </c>
      <c r="D733" s="1">
        <v>42548</v>
      </c>
      <c r="E733" t="s">
        <v>54</v>
      </c>
      <c r="F733" t="s">
        <v>4755</v>
      </c>
      <c r="G733" t="s">
        <v>4756</v>
      </c>
      <c r="H733" t="s">
        <v>29</v>
      </c>
      <c r="I733" t="s">
        <v>30</v>
      </c>
      <c r="J733" t="s">
        <v>1969</v>
      </c>
      <c r="K733" t="s">
        <v>145</v>
      </c>
      <c r="L733" t="s">
        <v>1970</v>
      </c>
      <c r="M733" t="s">
        <v>147</v>
      </c>
      <c r="N733" t="s">
        <v>4757</v>
      </c>
      <c r="O733" t="s">
        <v>36</v>
      </c>
      <c r="P733" t="s">
        <v>149</v>
      </c>
      <c r="Q733" t="s">
        <v>4758</v>
      </c>
      <c r="R733">
        <v>170.05799999999999</v>
      </c>
      <c r="S733">
        <v>3</v>
      </c>
      <c r="T733">
        <v>0.3</v>
      </c>
      <c r="U733">
        <v>-4.8587999999999996</v>
      </c>
      <c r="V733">
        <v>174.91679999999999</v>
      </c>
      <c r="W733">
        <v>119.04059999999998</v>
      </c>
      <c r="X733">
        <v>1.7151011223621747E-2</v>
      </c>
    </row>
    <row r="734" spans="1:24" x14ac:dyDescent="0.3">
      <c r="A734" t="s">
        <v>4759</v>
      </c>
      <c r="B734" t="s">
        <v>4760</v>
      </c>
      <c r="C734" s="1">
        <v>43334</v>
      </c>
      <c r="D734" s="1">
        <v>43338</v>
      </c>
      <c r="E734" t="s">
        <v>54</v>
      </c>
      <c r="F734" t="s">
        <v>4761</v>
      </c>
      <c r="G734" t="s">
        <v>4762</v>
      </c>
      <c r="H734" t="s">
        <v>29</v>
      </c>
      <c r="I734" t="s">
        <v>30</v>
      </c>
      <c r="J734" t="s">
        <v>174</v>
      </c>
      <c r="K734" t="s">
        <v>97</v>
      </c>
      <c r="L734" t="s">
        <v>193</v>
      </c>
      <c r="M734" t="s">
        <v>99</v>
      </c>
      <c r="N734" t="s">
        <v>4763</v>
      </c>
      <c r="O734" t="s">
        <v>49</v>
      </c>
      <c r="P734" t="s">
        <v>89</v>
      </c>
      <c r="Q734" t="s">
        <v>4764</v>
      </c>
      <c r="R734">
        <v>4.3120000000000003</v>
      </c>
      <c r="S734">
        <v>2</v>
      </c>
      <c r="T734">
        <v>0.8</v>
      </c>
      <c r="U734">
        <v>-6.8992000000000004</v>
      </c>
      <c r="V734">
        <v>11.211200000000002</v>
      </c>
      <c r="W734">
        <v>0.86239999999999983</v>
      </c>
      <c r="X734">
        <v>0.17839303553589264</v>
      </c>
    </row>
    <row r="735" spans="1:24" x14ac:dyDescent="0.3">
      <c r="A735" t="s">
        <v>4765</v>
      </c>
      <c r="B735" t="s">
        <v>4766</v>
      </c>
      <c r="C735" s="1">
        <v>43599</v>
      </c>
      <c r="D735" s="1">
        <v>43603</v>
      </c>
      <c r="E735" t="s">
        <v>54</v>
      </c>
      <c r="F735" t="s">
        <v>4767</v>
      </c>
      <c r="G735" t="s">
        <v>4768</v>
      </c>
      <c r="H735" t="s">
        <v>29</v>
      </c>
      <c r="I735" t="s">
        <v>30</v>
      </c>
      <c r="J735" t="s">
        <v>261</v>
      </c>
      <c r="K735" t="s">
        <v>262</v>
      </c>
      <c r="L735" t="s">
        <v>459</v>
      </c>
      <c r="M735" t="s">
        <v>147</v>
      </c>
      <c r="N735" t="s">
        <v>4769</v>
      </c>
      <c r="O735" t="s">
        <v>186</v>
      </c>
      <c r="P735" t="s">
        <v>187</v>
      </c>
      <c r="Q735" t="s">
        <v>4770</v>
      </c>
      <c r="R735">
        <v>539.97</v>
      </c>
      <c r="S735">
        <v>3</v>
      </c>
      <c r="T735">
        <v>0</v>
      </c>
      <c r="U735">
        <v>134.99250000000001</v>
      </c>
      <c r="V735">
        <v>404.97750000000002</v>
      </c>
      <c r="W735">
        <v>539.97</v>
      </c>
      <c r="X735">
        <v>7.4078189529047907E-3</v>
      </c>
    </row>
    <row r="736" spans="1:24" x14ac:dyDescent="0.3">
      <c r="A736" t="s">
        <v>4771</v>
      </c>
      <c r="B736" t="s">
        <v>4772</v>
      </c>
      <c r="C736" s="1">
        <v>43479</v>
      </c>
      <c r="D736" s="1">
        <v>43481</v>
      </c>
      <c r="E736" t="s">
        <v>180</v>
      </c>
      <c r="F736" t="s">
        <v>4773</v>
      </c>
      <c r="G736" t="s">
        <v>4774</v>
      </c>
      <c r="H736" t="s">
        <v>43</v>
      </c>
      <c r="I736" t="s">
        <v>30</v>
      </c>
      <c r="J736" t="s">
        <v>434</v>
      </c>
      <c r="K736" t="s">
        <v>435</v>
      </c>
      <c r="L736" t="s">
        <v>436</v>
      </c>
      <c r="M736" t="s">
        <v>47</v>
      </c>
      <c r="N736" t="s">
        <v>3656</v>
      </c>
      <c r="O736" t="s">
        <v>186</v>
      </c>
      <c r="P736" t="s">
        <v>228</v>
      </c>
      <c r="Q736" t="s">
        <v>3657</v>
      </c>
      <c r="R736">
        <v>169.06399999999999</v>
      </c>
      <c r="S736">
        <v>7</v>
      </c>
      <c r="T736">
        <v>0.2</v>
      </c>
      <c r="U736">
        <v>-14.793100000000001</v>
      </c>
      <c r="V736">
        <v>183.8571</v>
      </c>
      <c r="W736">
        <v>135.25120000000001</v>
      </c>
      <c r="X736">
        <v>3.8073046947874188E-2</v>
      </c>
    </row>
    <row r="737" spans="1:24" x14ac:dyDescent="0.3">
      <c r="A737" t="s">
        <v>4775</v>
      </c>
      <c r="B737" t="s">
        <v>4776</v>
      </c>
      <c r="C737" s="1">
        <v>43068</v>
      </c>
      <c r="D737" s="1">
        <v>43069</v>
      </c>
      <c r="E737" t="s">
        <v>180</v>
      </c>
      <c r="F737" t="s">
        <v>4777</v>
      </c>
      <c r="G737" t="s">
        <v>4778</v>
      </c>
      <c r="H737" t="s">
        <v>95</v>
      </c>
      <c r="I737" t="s">
        <v>30</v>
      </c>
      <c r="J737" t="s">
        <v>2212</v>
      </c>
      <c r="K737" t="s">
        <v>45</v>
      </c>
      <c r="L737" t="s">
        <v>2213</v>
      </c>
      <c r="M737" t="s">
        <v>47</v>
      </c>
      <c r="N737" t="s">
        <v>4779</v>
      </c>
      <c r="O737" t="s">
        <v>49</v>
      </c>
      <c r="P737" t="s">
        <v>129</v>
      </c>
      <c r="Q737" t="s">
        <v>4780</v>
      </c>
      <c r="R737">
        <v>56.3</v>
      </c>
      <c r="S737">
        <v>2</v>
      </c>
      <c r="T737">
        <v>0</v>
      </c>
      <c r="U737">
        <v>15.763999999999999</v>
      </c>
      <c r="V737">
        <v>40.536000000000001</v>
      </c>
      <c r="W737">
        <v>56.3</v>
      </c>
      <c r="X737">
        <v>4.9338859285573314E-2</v>
      </c>
    </row>
    <row r="738" spans="1:24" x14ac:dyDescent="0.3">
      <c r="A738" t="s">
        <v>4781</v>
      </c>
      <c r="B738" t="s">
        <v>4782</v>
      </c>
      <c r="C738" s="1">
        <v>43744</v>
      </c>
      <c r="D738" s="1">
        <v>43750</v>
      </c>
      <c r="E738" t="s">
        <v>54</v>
      </c>
      <c r="F738" t="s">
        <v>4783</v>
      </c>
      <c r="G738" t="s">
        <v>4784</v>
      </c>
      <c r="H738" t="s">
        <v>95</v>
      </c>
      <c r="I738" t="s">
        <v>30</v>
      </c>
      <c r="J738" t="s">
        <v>261</v>
      </c>
      <c r="K738" t="s">
        <v>262</v>
      </c>
      <c r="L738" t="s">
        <v>459</v>
      </c>
      <c r="M738" t="s">
        <v>147</v>
      </c>
      <c r="N738" t="s">
        <v>4785</v>
      </c>
      <c r="O738" t="s">
        <v>186</v>
      </c>
      <c r="P738" t="s">
        <v>228</v>
      </c>
      <c r="Q738" t="s">
        <v>4786</v>
      </c>
      <c r="R738">
        <v>319.95999999999998</v>
      </c>
      <c r="S738">
        <v>4</v>
      </c>
      <c r="T738">
        <v>0</v>
      </c>
      <c r="U738">
        <v>115.18559999999999</v>
      </c>
      <c r="V738">
        <v>204.77439999999999</v>
      </c>
      <c r="W738">
        <v>319.95999999999998</v>
      </c>
      <c r="X738">
        <v>1.9533691711463935E-2</v>
      </c>
    </row>
    <row r="739" spans="1:24" x14ac:dyDescent="0.3">
      <c r="A739" t="s">
        <v>4787</v>
      </c>
      <c r="B739" t="s">
        <v>4788</v>
      </c>
      <c r="C739" s="1">
        <v>43603</v>
      </c>
      <c r="D739" s="1">
        <v>43608</v>
      </c>
      <c r="E739" t="s">
        <v>54</v>
      </c>
      <c r="F739" t="s">
        <v>4789</v>
      </c>
      <c r="G739" t="s">
        <v>4790</v>
      </c>
      <c r="H739" t="s">
        <v>43</v>
      </c>
      <c r="I739" t="s">
        <v>30</v>
      </c>
      <c r="J739" t="s">
        <v>4791</v>
      </c>
      <c r="K739" t="s">
        <v>97</v>
      </c>
      <c r="L739" t="s">
        <v>4792</v>
      </c>
      <c r="M739" t="s">
        <v>99</v>
      </c>
      <c r="N739" t="s">
        <v>2339</v>
      </c>
      <c r="O739" t="s">
        <v>49</v>
      </c>
      <c r="P739" t="s">
        <v>89</v>
      </c>
      <c r="Q739" t="s">
        <v>2340</v>
      </c>
      <c r="R739">
        <v>6.8739999999999997</v>
      </c>
      <c r="S739">
        <v>7</v>
      </c>
      <c r="T739">
        <v>0.8</v>
      </c>
      <c r="U739">
        <v>-10.6547</v>
      </c>
      <c r="V739">
        <v>17.528700000000001</v>
      </c>
      <c r="W739">
        <v>1.3747999999999996</v>
      </c>
      <c r="X739">
        <v>0.39934507407851122</v>
      </c>
    </row>
    <row r="740" spans="1:24" x14ac:dyDescent="0.3">
      <c r="A740" t="s">
        <v>4793</v>
      </c>
      <c r="B740" t="s">
        <v>4794</v>
      </c>
      <c r="C740" s="1">
        <v>43808</v>
      </c>
      <c r="D740" s="1">
        <v>43813</v>
      </c>
      <c r="E740" t="s">
        <v>54</v>
      </c>
      <c r="F740" t="s">
        <v>4795</v>
      </c>
      <c r="G740" t="s">
        <v>4796</v>
      </c>
      <c r="H740" t="s">
        <v>29</v>
      </c>
      <c r="I740" t="s">
        <v>30</v>
      </c>
      <c r="J740" t="s">
        <v>286</v>
      </c>
      <c r="K740" t="s">
        <v>202</v>
      </c>
      <c r="L740" t="s">
        <v>358</v>
      </c>
      <c r="M740" t="s">
        <v>99</v>
      </c>
      <c r="N740" t="s">
        <v>4797</v>
      </c>
      <c r="O740" t="s">
        <v>49</v>
      </c>
      <c r="P740" t="s">
        <v>79</v>
      </c>
      <c r="Q740" t="s">
        <v>4798</v>
      </c>
      <c r="R740">
        <v>15.984</v>
      </c>
      <c r="S740">
        <v>2</v>
      </c>
      <c r="T740">
        <v>0.2</v>
      </c>
      <c r="U740">
        <v>4.9950000000000001</v>
      </c>
      <c r="V740">
        <v>10.989000000000001</v>
      </c>
      <c r="W740">
        <v>12.7872</v>
      </c>
      <c r="X740">
        <v>0.18200018200018198</v>
      </c>
    </row>
    <row r="741" spans="1:24" x14ac:dyDescent="0.3">
      <c r="A741" t="s">
        <v>4799</v>
      </c>
      <c r="B741" t="s">
        <v>4800</v>
      </c>
      <c r="C741" s="1">
        <v>43304</v>
      </c>
      <c r="D741" s="1">
        <v>43308</v>
      </c>
      <c r="E741" t="s">
        <v>54</v>
      </c>
      <c r="F741" t="s">
        <v>4801</v>
      </c>
      <c r="G741" t="s">
        <v>4802</v>
      </c>
      <c r="H741" t="s">
        <v>95</v>
      </c>
      <c r="I741" t="s">
        <v>30</v>
      </c>
      <c r="J741" t="s">
        <v>4803</v>
      </c>
      <c r="K741" t="s">
        <v>202</v>
      </c>
      <c r="L741" t="s">
        <v>4804</v>
      </c>
      <c r="M741" t="s">
        <v>99</v>
      </c>
      <c r="N741" t="s">
        <v>4805</v>
      </c>
      <c r="O741" t="s">
        <v>49</v>
      </c>
      <c r="P741" t="s">
        <v>89</v>
      </c>
      <c r="Q741" t="s">
        <v>4806</v>
      </c>
      <c r="R741">
        <v>11.416</v>
      </c>
      <c r="S741">
        <v>4</v>
      </c>
      <c r="T741">
        <v>0.8</v>
      </c>
      <c r="U741">
        <v>-18.836400000000001</v>
      </c>
      <c r="V741">
        <v>30.252400000000002</v>
      </c>
      <c r="W741">
        <v>2.2831999999999995</v>
      </c>
      <c r="X741">
        <v>0.13222091470428793</v>
      </c>
    </row>
    <row r="742" spans="1:24" x14ac:dyDescent="0.3">
      <c r="A742" t="s">
        <v>4807</v>
      </c>
      <c r="B742" t="s">
        <v>4808</v>
      </c>
      <c r="C742" s="1">
        <v>42632</v>
      </c>
      <c r="D742" s="1">
        <v>42632</v>
      </c>
      <c r="E742" t="s">
        <v>1152</v>
      </c>
      <c r="F742" t="s">
        <v>4809</v>
      </c>
      <c r="G742" t="s">
        <v>4810</v>
      </c>
      <c r="H742" t="s">
        <v>43</v>
      </c>
      <c r="I742" t="s">
        <v>30</v>
      </c>
      <c r="J742" t="s">
        <v>261</v>
      </c>
      <c r="K742" t="s">
        <v>262</v>
      </c>
      <c r="L742" t="s">
        <v>1788</v>
      </c>
      <c r="M742" t="s">
        <v>147</v>
      </c>
      <c r="N742" t="s">
        <v>3650</v>
      </c>
      <c r="O742" t="s">
        <v>36</v>
      </c>
      <c r="P742" t="s">
        <v>149</v>
      </c>
      <c r="Q742" t="s">
        <v>3651</v>
      </c>
      <c r="R742">
        <v>887.10299999999995</v>
      </c>
      <c r="S742">
        <v>7</v>
      </c>
      <c r="T742">
        <v>0.1</v>
      </c>
      <c r="U742">
        <v>177.42060000000001</v>
      </c>
      <c r="V742">
        <v>709.68239999999992</v>
      </c>
      <c r="W742">
        <v>798.39269999999999</v>
      </c>
      <c r="X742">
        <v>9.8635671393288056E-3</v>
      </c>
    </row>
    <row r="743" spans="1:24" x14ac:dyDescent="0.3">
      <c r="A743" t="s">
        <v>4811</v>
      </c>
      <c r="B743" t="s">
        <v>4812</v>
      </c>
      <c r="C743" s="1">
        <v>43065</v>
      </c>
      <c r="D743" s="1">
        <v>43069</v>
      </c>
      <c r="E743" t="s">
        <v>54</v>
      </c>
      <c r="F743" t="s">
        <v>4813</v>
      </c>
      <c r="G743" t="s">
        <v>4814</v>
      </c>
      <c r="H743" t="s">
        <v>43</v>
      </c>
      <c r="I743" t="s">
        <v>30</v>
      </c>
      <c r="J743" t="s">
        <v>1328</v>
      </c>
      <c r="K743" t="s">
        <v>320</v>
      </c>
      <c r="L743" t="s">
        <v>4815</v>
      </c>
      <c r="M743" t="s">
        <v>34</v>
      </c>
      <c r="N743" t="s">
        <v>4816</v>
      </c>
      <c r="O743" t="s">
        <v>36</v>
      </c>
      <c r="P743" t="s">
        <v>69</v>
      </c>
      <c r="Q743" t="s">
        <v>4817</v>
      </c>
      <c r="R743">
        <v>692.47199999999998</v>
      </c>
      <c r="S743">
        <v>11</v>
      </c>
      <c r="T743">
        <v>0.2</v>
      </c>
      <c r="U743">
        <v>190.4298</v>
      </c>
      <c r="V743">
        <v>502.04219999999998</v>
      </c>
      <c r="W743">
        <v>553.97760000000005</v>
      </c>
      <c r="X743">
        <v>2.1910508718191418E-2</v>
      </c>
    </row>
    <row r="744" spans="1:24" x14ac:dyDescent="0.3">
      <c r="A744" t="s">
        <v>4818</v>
      </c>
      <c r="B744" t="s">
        <v>4819</v>
      </c>
      <c r="C744" s="1">
        <v>43090</v>
      </c>
      <c r="D744" s="1">
        <v>43096</v>
      </c>
      <c r="E744" t="s">
        <v>54</v>
      </c>
      <c r="F744" t="s">
        <v>4820</v>
      </c>
      <c r="G744" t="s">
        <v>4821</v>
      </c>
      <c r="H744" t="s">
        <v>29</v>
      </c>
      <c r="I744" t="s">
        <v>30</v>
      </c>
      <c r="J744" t="s">
        <v>4822</v>
      </c>
      <c r="K744" t="s">
        <v>58</v>
      </c>
      <c r="L744" t="s">
        <v>4823</v>
      </c>
      <c r="M744" t="s">
        <v>34</v>
      </c>
      <c r="N744" t="s">
        <v>4824</v>
      </c>
      <c r="O744" t="s">
        <v>186</v>
      </c>
      <c r="P744" t="s">
        <v>228</v>
      </c>
      <c r="Q744" t="s">
        <v>4825</v>
      </c>
      <c r="R744">
        <v>50.88</v>
      </c>
      <c r="S744">
        <v>6</v>
      </c>
      <c r="T744">
        <v>0.2</v>
      </c>
      <c r="U744">
        <v>14.628</v>
      </c>
      <c r="V744">
        <v>36.252000000000002</v>
      </c>
      <c r="W744">
        <v>40.704000000000008</v>
      </c>
      <c r="X744">
        <v>0.16550810989738496</v>
      </c>
    </row>
    <row r="745" spans="1:24" x14ac:dyDescent="0.3">
      <c r="A745" t="s">
        <v>4826</v>
      </c>
      <c r="B745" t="s">
        <v>4827</v>
      </c>
      <c r="C745" s="1">
        <v>43809</v>
      </c>
      <c r="D745" s="1">
        <v>43811</v>
      </c>
      <c r="E745" t="s">
        <v>26</v>
      </c>
      <c r="F745" t="s">
        <v>4828</v>
      </c>
      <c r="G745" t="s">
        <v>4829</v>
      </c>
      <c r="H745" t="s">
        <v>29</v>
      </c>
      <c r="I745" t="s">
        <v>30</v>
      </c>
      <c r="J745" t="s">
        <v>3840</v>
      </c>
      <c r="K745" t="s">
        <v>45</v>
      </c>
      <c r="L745" t="s">
        <v>3841</v>
      </c>
      <c r="M745" t="s">
        <v>47</v>
      </c>
      <c r="N745" t="s">
        <v>4830</v>
      </c>
      <c r="O745" t="s">
        <v>186</v>
      </c>
      <c r="P745" t="s">
        <v>187</v>
      </c>
      <c r="Q745" t="s">
        <v>4831</v>
      </c>
      <c r="R745">
        <v>95.84</v>
      </c>
      <c r="S745">
        <v>4</v>
      </c>
      <c r="T745">
        <v>0.2</v>
      </c>
      <c r="U745">
        <v>34.741999999999997</v>
      </c>
      <c r="V745">
        <v>61.098000000000006</v>
      </c>
      <c r="W745">
        <v>76.672000000000011</v>
      </c>
      <c r="X745">
        <v>6.5468591443255092E-2</v>
      </c>
    </row>
    <row r="746" spans="1:24" x14ac:dyDescent="0.3">
      <c r="A746" t="s">
        <v>4832</v>
      </c>
      <c r="B746" t="s">
        <v>4833</v>
      </c>
      <c r="C746" s="1">
        <v>42695</v>
      </c>
      <c r="D746" s="1">
        <v>42700</v>
      </c>
      <c r="E746" t="s">
        <v>54</v>
      </c>
      <c r="F746" t="s">
        <v>4834</v>
      </c>
      <c r="G746" t="s">
        <v>4835</v>
      </c>
      <c r="H746" t="s">
        <v>43</v>
      </c>
      <c r="I746" t="s">
        <v>30</v>
      </c>
      <c r="J746" t="s">
        <v>126</v>
      </c>
      <c r="K746" t="s">
        <v>45</v>
      </c>
      <c r="L746" t="s">
        <v>957</v>
      </c>
      <c r="M746" t="s">
        <v>47</v>
      </c>
      <c r="N746" t="s">
        <v>4836</v>
      </c>
      <c r="O746" t="s">
        <v>49</v>
      </c>
      <c r="P746" t="s">
        <v>79</v>
      </c>
      <c r="Q746" t="s">
        <v>4837</v>
      </c>
      <c r="R746">
        <v>12.96</v>
      </c>
      <c r="S746">
        <v>2</v>
      </c>
      <c r="T746">
        <v>0</v>
      </c>
      <c r="U746">
        <v>6.2207999999999997</v>
      </c>
      <c r="V746">
        <v>6.7392000000000012</v>
      </c>
      <c r="W746">
        <v>12.96</v>
      </c>
      <c r="X746">
        <v>0.29677113010446338</v>
      </c>
    </row>
    <row r="747" spans="1:24" x14ac:dyDescent="0.3">
      <c r="A747" t="s">
        <v>4838</v>
      </c>
      <c r="B747" t="s">
        <v>4839</v>
      </c>
      <c r="C747" s="1">
        <v>43608</v>
      </c>
      <c r="D747" s="1">
        <v>43614</v>
      </c>
      <c r="E747" t="s">
        <v>54</v>
      </c>
      <c r="F747" t="s">
        <v>4840</v>
      </c>
      <c r="G747" t="s">
        <v>4841</v>
      </c>
      <c r="H747" t="s">
        <v>29</v>
      </c>
      <c r="I747" t="s">
        <v>30</v>
      </c>
      <c r="J747" t="s">
        <v>44</v>
      </c>
      <c r="K747" t="s">
        <v>45</v>
      </c>
      <c r="L747" t="s">
        <v>46</v>
      </c>
      <c r="M747" t="s">
        <v>47</v>
      </c>
      <c r="N747" t="s">
        <v>4842</v>
      </c>
      <c r="O747" t="s">
        <v>36</v>
      </c>
      <c r="P747" t="s">
        <v>61</v>
      </c>
      <c r="Q747" t="s">
        <v>4843</v>
      </c>
      <c r="R747">
        <v>171.28800000000001</v>
      </c>
      <c r="S747">
        <v>3</v>
      </c>
      <c r="T747">
        <v>0.2</v>
      </c>
      <c r="U747">
        <v>-6.4233000000000002</v>
      </c>
      <c r="V747">
        <v>177.71130000000002</v>
      </c>
      <c r="W747">
        <v>137.03040000000001</v>
      </c>
      <c r="X747">
        <v>1.6881312555813838E-2</v>
      </c>
    </row>
    <row r="748" spans="1:24" x14ac:dyDescent="0.3">
      <c r="A748" t="s">
        <v>4844</v>
      </c>
      <c r="B748" t="s">
        <v>4845</v>
      </c>
      <c r="C748" s="1">
        <v>43554</v>
      </c>
      <c r="D748" s="1">
        <v>43555</v>
      </c>
      <c r="E748" t="s">
        <v>180</v>
      </c>
      <c r="F748" t="s">
        <v>4846</v>
      </c>
      <c r="G748" t="s">
        <v>4847</v>
      </c>
      <c r="H748" t="s">
        <v>29</v>
      </c>
      <c r="I748" t="s">
        <v>30</v>
      </c>
      <c r="J748" t="s">
        <v>4848</v>
      </c>
      <c r="K748" t="s">
        <v>619</v>
      </c>
      <c r="L748" t="s">
        <v>4849</v>
      </c>
      <c r="M748" t="s">
        <v>99</v>
      </c>
      <c r="N748" t="s">
        <v>4850</v>
      </c>
      <c r="O748" t="s">
        <v>49</v>
      </c>
      <c r="P748" t="s">
        <v>195</v>
      </c>
      <c r="Q748" t="s">
        <v>4851</v>
      </c>
      <c r="R748">
        <v>325.86</v>
      </c>
      <c r="S748">
        <v>2</v>
      </c>
      <c r="T748">
        <v>0</v>
      </c>
      <c r="U748">
        <v>149.8956</v>
      </c>
      <c r="V748">
        <v>175.96440000000001</v>
      </c>
      <c r="W748">
        <v>325.86</v>
      </c>
      <c r="X748">
        <v>1.1365935382384163E-2</v>
      </c>
    </row>
    <row r="749" spans="1:24" x14ac:dyDescent="0.3">
      <c r="A749" t="s">
        <v>4852</v>
      </c>
      <c r="B749" t="s">
        <v>4853</v>
      </c>
      <c r="C749" s="1">
        <v>43338</v>
      </c>
      <c r="D749" s="1">
        <v>43340</v>
      </c>
      <c r="E749" t="s">
        <v>26</v>
      </c>
      <c r="F749" t="s">
        <v>4854</v>
      </c>
      <c r="G749" t="s">
        <v>4855</v>
      </c>
      <c r="H749" t="s">
        <v>43</v>
      </c>
      <c r="I749" t="s">
        <v>30</v>
      </c>
      <c r="J749" t="s">
        <v>44</v>
      </c>
      <c r="K749" t="s">
        <v>45</v>
      </c>
      <c r="L749" t="s">
        <v>627</v>
      </c>
      <c r="M749" t="s">
        <v>47</v>
      </c>
      <c r="N749" t="s">
        <v>4856</v>
      </c>
      <c r="O749" t="s">
        <v>49</v>
      </c>
      <c r="P749" t="s">
        <v>129</v>
      </c>
      <c r="Q749" t="s">
        <v>4857</v>
      </c>
      <c r="R749">
        <v>8.26</v>
      </c>
      <c r="S749">
        <v>2</v>
      </c>
      <c r="T749">
        <v>0</v>
      </c>
      <c r="U749">
        <v>3.7995999999999999</v>
      </c>
      <c r="V749">
        <v>4.4603999999999999</v>
      </c>
      <c r="W749">
        <v>8.26</v>
      </c>
      <c r="X749">
        <v>0.44839027889875349</v>
      </c>
    </row>
    <row r="750" spans="1:24" x14ac:dyDescent="0.3">
      <c r="A750" t="s">
        <v>4858</v>
      </c>
      <c r="B750" t="s">
        <v>4859</v>
      </c>
      <c r="C750" s="1">
        <v>43216</v>
      </c>
      <c r="D750" s="1">
        <v>43221</v>
      </c>
      <c r="E750" t="s">
        <v>54</v>
      </c>
      <c r="F750" t="s">
        <v>4860</v>
      </c>
      <c r="G750" t="s">
        <v>4861</v>
      </c>
      <c r="H750" t="s">
        <v>95</v>
      </c>
      <c r="I750" t="s">
        <v>30</v>
      </c>
      <c r="J750" t="s">
        <v>261</v>
      </c>
      <c r="K750" t="s">
        <v>262</v>
      </c>
      <c r="L750" t="s">
        <v>312</v>
      </c>
      <c r="M750" t="s">
        <v>147</v>
      </c>
      <c r="N750" t="s">
        <v>4862</v>
      </c>
      <c r="O750" t="s">
        <v>36</v>
      </c>
      <c r="P750" t="s">
        <v>149</v>
      </c>
      <c r="Q750" t="s">
        <v>4863</v>
      </c>
      <c r="R750">
        <v>434.64600000000002</v>
      </c>
      <c r="S750">
        <v>3</v>
      </c>
      <c r="T750">
        <v>0.1</v>
      </c>
      <c r="U750">
        <v>62.782200000000003</v>
      </c>
      <c r="V750">
        <v>371.86380000000003</v>
      </c>
      <c r="W750">
        <v>391.1814</v>
      </c>
      <c r="X750">
        <v>8.0674698639663228E-3</v>
      </c>
    </row>
    <row r="751" spans="1:24" x14ac:dyDescent="0.3">
      <c r="A751" t="s">
        <v>4864</v>
      </c>
      <c r="B751" t="s">
        <v>4865</v>
      </c>
      <c r="C751" s="1">
        <v>42528</v>
      </c>
      <c r="D751" s="1">
        <v>42532</v>
      </c>
      <c r="E751" t="s">
        <v>26</v>
      </c>
      <c r="F751" t="s">
        <v>4866</v>
      </c>
      <c r="G751" t="s">
        <v>4867</v>
      </c>
      <c r="H751" t="s">
        <v>29</v>
      </c>
      <c r="I751" t="s">
        <v>30</v>
      </c>
      <c r="J751" t="s">
        <v>434</v>
      </c>
      <c r="K751" t="s">
        <v>202</v>
      </c>
      <c r="L751" t="s">
        <v>1887</v>
      </c>
      <c r="M751" t="s">
        <v>99</v>
      </c>
      <c r="N751" t="s">
        <v>4868</v>
      </c>
      <c r="O751" t="s">
        <v>36</v>
      </c>
      <c r="P751" t="s">
        <v>61</v>
      </c>
      <c r="Q751" t="s">
        <v>4869</v>
      </c>
      <c r="R751">
        <v>268.935</v>
      </c>
      <c r="S751">
        <v>3</v>
      </c>
      <c r="T751">
        <v>0.5</v>
      </c>
      <c r="U751">
        <v>-209.76929999999999</v>
      </c>
      <c r="V751">
        <v>478.70429999999999</v>
      </c>
      <c r="W751">
        <v>134.4675</v>
      </c>
      <c r="X751">
        <v>6.2669167584247726E-3</v>
      </c>
    </row>
    <row r="752" spans="1:24" x14ac:dyDescent="0.3">
      <c r="A752" t="s">
        <v>4870</v>
      </c>
      <c r="B752" t="s">
        <v>4871</v>
      </c>
      <c r="C752" s="1">
        <v>43618</v>
      </c>
      <c r="D752" s="1">
        <v>43619</v>
      </c>
      <c r="E752" t="s">
        <v>1152</v>
      </c>
      <c r="F752" t="s">
        <v>4872</v>
      </c>
      <c r="G752" t="s">
        <v>4873</v>
      </c>
      <c r="H752" t="s">
        <v>29</v>
      </c>
      <c r="I752" t="s">
        <v>30</v>
      </c>
      <c r="J752" t="s">
        <v>1359</v>
      </c>
      <c r="K752" t="s">
        <v>76</v>
      </c>
      <c r="L752" t="s">
        <v>3047</v>
      </c>
      <c r="M752" t="s">
        <v>34</v>
      </c>
      <c r="N752" t="s">
        <v>4874</v>
      </c>
      <c r="O752" t="s">
        <v>49</v>
      </c>
      <c r="P752" t="s">
        <v>79</v>
      </c>
      <c r="Q752" t="s">
        <v>4875</v>
      </c>
      <c r="R752">
        <v>25.344000000000001</v>
      </c>
      <c r="S752">
        <v>4</v>
      </c>
      <c r="T752">
        <v>0.2</v>
      </c>
      <c r="U752">
        <v>9.1872000000000007</v>
      </c>
      <c r="V752">
        <v>16.1568</v>
      </c>
      <c r="W752">
        <v>20.275200000000002</v>
      </c>
      <c r="X752">
        <v>0.24757377698554167</v>
      </c>
    </row>
    <row r="753" spans="1:24" x14ac:dyDescent="0.3">
      <c r="A753" t="s">
        <v>4876</v>
      </c>
      <c r="B753" t="s">
        <v>4877</v>
      </c>
      <c r="C753" s="1">
        <v>42810</v>
      </c>
      <c r="D753" s="1">
        <v>42817</v>
      </c>
      <c r="E753" t="s">
        <v>54</v>
      </c>
      <c r="F753" t="s">
        <v>4878</v>
      </c>
      <c r="G753" t="s">
        <v>4879</v>
      </c>
      <c r="H753" t="s">
        <v>43</v>
      </c>
      <c r="I753" t="s">
        <v>30</v>
      </c>
      <c r="J753" t="s">
        <v>44</v>
      </c>
      <c r="K753" t="s">
        <v>45</v>
      </c>
      <c r="L753" t="s">
        <v>46</v>
      </c>
      <c r="M753" t="s">
        <v>47</v>
      </c>
      <c r="N753" t="s">
        <v>4880</v>
      </c>
      <c r="O753" t="s">
        <v>36</v>
      </c>
      <c r="P753" t="s">
        <v>69</v>
      </c>
      <c r="Q753" t="s">
        <v>4881</v>
      </c>
      <c r="R753">
        <v>43.13</v>
      </c>
      <c r="S753">
        <v>1</v>
      </c>
      <c r="T753">
        <v>0</v>
      </c>
      <c r="U753">
        <v>18.114599999999999</v>
      </c>
      <c r="V753">
        <v>25.015400000000003</v>
      </c>
      <c r="W753">
        <v>43.13</v>
      </c>
      <c r="X753">
        <v>3.9975375168895953E-2</v>
      </c>
    </row>
    <row r="754" spans="1:24" x14ac:dyDescent="0.3">
      <c r="A754" t="s">
        <v>4882</v>
      </c>
      <c r="B754" t="s">
        <v>4883</v>
      </c>
      <c r="C754" s="1">
        <v>43624</v>
      </c>
      <c r="D754" s="1">
        <v>43630</v>
      </c>
      <c r="E754" t="s">
        <v>54</v>
      </c>
      <c r="F754" t="s">
        <v>4884</v>
      </c>
      <c r="G754" t="s">
        <v>4885</v>
      </c>
      <c r="H754" t="s">
        <v>29</v>
      </c>
      <c r="I754" t="s">
        <v>30</v>
      </c>
      <c r="J754" t="s">
        <v>2403</v>
      </c>
      <c r="K754" t="s">
        <v>706</v>
      </c>
      <c r="L754" t="s">
        <v>2404</v>
      </c>
      <c r="M754" t="s">
        <v>147</v>
      </c>
      <c r="N754" t="s">
        <v>4524</v>
      </c>
      <c r="O754" t="s">
        <v>49</v>
      </c>
      <c r="P754" t="s">
        <v>89</v>
      </c>
      <c r="Q754" t="s">
        <v>4525</v>
      </c>
      <c r="R754">
        <v>10.36</v>
      </c>
      <c r="S754">
        <v>2</v>
      </c>
      <c r="T754">
        <v>0</v>
      </c>
      <c r="U754">
        <v>5.0763999999999996</v>
      </c>
      <c r="V754">
        <v>5.2835999999999999</v>
      </c>
      <c r="W754">
        <v>10.36</v>
      </c>
      <c r="X754">
        <v>0.37852979029449618</v>
      </c>
    </row>
    <row r="755" spans="1:24" x14ac:dyDescent="0.3">
      <c r="A755" t="s">
        <v>4886</v>
      </c>
      <c r="B755" t="s">
        <v>4887</v>
      </c>
      <c r="C755" s="1">
        <v>43718</v>
      </c>
      <c r="D755" s="1">
        <v>43721</v>
      </c>
      <c r="E755" t="s">
        <v>180</v>
      </c>
      <c r="F755" t="s">
        <v>4888</v>
      </c>
      <c r="G755" t="s">
        <v>4889</v>
      </c>
      <c r="H755" t="s">
        <v>43</v>
      </c>
      <c r="I755" t="s">
        <v>30</v>
      </c>
      <c r="J755" t="s">
        <v>1320</v>
      </c>
      <c r="K755" t="s">
        <v>1118</v>
      </c>
      <c r="L755" t="s">
        <v>1321</v>
      </c>
      <c r="M755" t="s">
        <v>147</v>
      </c>
      <c r="N755" t="s">
        <v>4890</v>
      </c>
      <c r="O755" t="s">
        <v>49</v>
      </c>
      <c r="P755" t="s">
        <v>129</v>
      </c>
      <c r="Q755" t="s">
        <v>4891</v>
      </c>
      <c r="R755">
        <v>14.88</v>
      </c>
      <c r="S755">
        <v>2</v>
      </c>
      <c r="T755">
        <v>0</v>
      </c>
      <c r="U755">
        <v>3.72</v>
      </c>
      <c r="V755">
        <v>11.16</v>
      </c>
      <c r="W755">
        <v>14.88</v>
      </c>
      <c r="X755">
        <v>0.17921146953405018</v>
      </c>
    </row>
    <row r="756" spans="1:24" x14ac:dyDescent="0.3">
      <c r="A756" t="s">
        <v>4892</v>
      </c>
      <c r="B756" t="s">
        <v>4893</v>
      </c>
      <c r="C756" s="1">
        <v>42809</v>
      </c>
      <c r="D756" s="1">
        <v>42815</v>
      </c>
      <c r="E756" t="s">
        <v>54</v>
      </c>
      <c r="F756" t="s">
        <v>4894</v>
      </c>
      <c r="G756" t="s">
        <v>4895</v>
      </c>
      <c r="H756" t="s">
        <v>43</v>
      </c>
      <c r="I756" t="s">
        <v>30</v>
      </c>
      <c r="J756" t="s">
        <v>4896</v>
      </c>
      <c r="K756" t="s">
        <v>118</v>
      </c>
      <c r="L756" t="s">
        <v>4897</v>
      </c>
      <c r="M756" t="s">
        <v>47</v>
      </c>
      <c r="N756" t="s">
        <v>4898</v>
      </c>
      <c r="O756" t="s">
        <v>186</v>
      </c>
      <c r="P756" t="s">
        <v>187</v>
      </c>
      <c r="Q756" t="s">
        <v>4899</v>
      </c>
      <c r="R756">
        <v>16.776</v>
      </c>
      <c r="S756">
        <v>3</v>
      </c>
      <c r="T756">
        <v>0.2</v>
      </c>
      <c r="U756">
        <v>1.6776</v>
      </c>
      <c r="V756">
        <v>15.0984</v>
      </c>
      <c r="W756">
        <v>13.4208</v>
      </c>
      <c r="X756">
        <v>0.19869655062788111</v>
      </c>
    </row>
    <row r="757" spans="1:24" x14ac:dyDescent="0.3">
      <c r="A757" t="s">
        <v>4900</v>
      </c>
      <c r="B757" t="s">
        <v>4901</v>
      </c>
      <c r="C757" s="1">
        <v>42436</v>
      </c>
      <c r="D757" s="1">
        <v>42437</v>
      </c>
      <c r="E757" t="s">
        <v>180</v>
      </c>
      <c r="F757" t="s">
        <v>4902</v>
      </c>
      <c r="G757" t="s">
        <v>4903</v>
      </c>
      <c r="H757" t="s">
        <v>29</v>
      </c>
      <c r="I757" t="s">
        <v>30</v>
      </c>
      <c r="J757" t="s">
        <v>85</v>
      </c>
      <c r="K757" t="s">
        <v>86</v>
      </c>
      <c r="L757" t="s">
        <v>87</v>
      </c>
      <c r="M757" t="s">
        <v>47</v>
      </c>
      <c r="N757" t="s">
        <v>4904</v>
      </c>
      <c r="O757" t="s">
        <v>36</v>
      </c>
      <c r="P757" t="s">
        <v>149</v>
      </c>
      <c r="Q757" t="s">
        <v>4905</v>
      </c>
      <c r="R757">
        <v>48.712000000000003</v>
      </c>
      <c r="S757">
        <v>1</v>
      </c>
      <c r="T757">
        <v>0.2</v>
      </c>
      <c r="U757">
        <v>5.4801000000000002</v>
      </c>
      <c r="V757">
        <v>43.231900000000003</v>
      </c>
      <c r="W757">
        <v>38.969600000000007</v>
      </c>
      <c r="X757">
        <v>2.3131067568161471E-2</v>
      </c>
    </row>
    <row r="758" spans="1:24" x14ac:dyDescent="0.3">
      <c r="A758" t="s">
        <v>4906</v>
      </c>
      <c r="B758" t="s">
        <v>4907</v>
      </c>
      <c r="C758" s="1">
        <v>42985</v>
      </c>
      <c r="D758" s="1">
        <v>42992</v>
      </c>
      <c r="E758" t="s">
        <v>54</v>
      </c>
      <c r="F758" t="s">
        <v>4908</v>
      </c>
      <c r="G758" t="s">
        <v>4909</v>
      </c>
      <c r="H758" t="s">
        <v>43</v>
      </c>
      <c r="I758" t="s">
        <v>30</v>
      </c>
      <c r="J758" t="s">
        <v>144</v>
      </c>
      <c r="K758" t="s">
        <v>145</v>
      </c>
      <c r="L758" t="s">
        <v>634</v>
      </c>
      <c r="M758" t="s">
        <v>147</v>
      </c>
      <c r="N758" t="s">
        <v>4910</v>
      </c>
      <c r="O758" t="s">
        <v>49</v>
      </c>
      <c r="P758" t="s">
        <v>89</v>
      </c>
      <c r="Q758" t="s">
        <v>4911</v>
      </c>
      <c r="R758">
        <v>9.5220000000000002</v>
      </c>
      <c r="S758">
        <v>1</v>
      </c>
      <c r="T758">
        <v>0.7</v>
      </c>
      <c r="U758">
        <v>-6.9828000000000001</v>
      </c>
      <c r="V758">
        <v>16.504799999999999</v>
      </c>
      <c r="W758">
        <v>2.8566000000000007</v>
      </c>
      <c r="X758">
        <v>6.0588434879550193E-2</v>
      </c>
    </row>
    <row r="759" spans="1:24" x14ac:dyDescent="0.3">
      <c r="A759" t="s">
        <v>4912</v>
      </c>
      <c r="B759" t="s">
        <v>4913</v>
      </c>
      <c r="C759" s="1">
        <v>42689</v>
      </c>
      <c r="D759" s="1">
        <v>42692</v>
      </c>
      <c r="E759" t="s">
        <v>180</v>
      </c>
      <c r="F759" t="s">
        <v>4914</v>
      </c>
      <c r="G759" t="s">
        <v>4915</v>
      </c>
      <c r="H759" t="s">
        <v>29</v>
      </c>
      <c r="I759" t="s">
        <v>30</v>
      </c>
      <c r="J759" t="s">
        <v>44</v>
      </c>
      <c r="K759" t="s">
        <v>45</v>
      </c>
      <c r="L759" t="s">
        <v>1669</v>
      </c>
      <c r="M759" t="s">
        <v>47</v>
      </c>
      <c r="N759" t="s">
        <v>901</v>
      </c>
      <c r="O759" t="s">
        <v>36</v>
      </c>
      <c r="P759" t="s">
        <v>69</v>
      </c>
      <c r="Q759" t="s">
        <v>902</v>
      </c>
      <c r="R759">
        <v>10.11</v>
      </c>
      <c r="S759">
        <v>3</v>
      </c>
      <c r="T759">
        <v>0</v>
      </c>
      <c r="U759">
        <v>3.2351999999999999</v>
      </c>
      <c r="V759">
        <v>6.8747999999999996</v>
      </c>
      <c r="W759">
        <v>10.11</v>
      </c>
      <c r="X759">
        <v>0.43637633094780942</v>
      </c>
    </row>
    <row r="760" spans="1:24" x14ac:dyDescent="0.3">
      <c r="A760" t="s">
        <v>4916</v>
      </c>
      <c r="B760" t="s">
        <v>4917</v>
      </c>
      <c r="C760" s="1">
        <v>43351</v>
      </c>
      <c r="D760" s="1">
        <v>43355</v>
      </c>
      <c r="E760" t="s">
        <v>54</v>
      </c>
      <c r="F760" t="s">
        <v>4918</v>
      </c>
      <c r="G760" t="s">
        <v>4919</v>
      </c>
      <c r="H760" t="s">
        <v>29</v>
      </c>
      <c r="I760" t="s">
        <v>30</v>
      </c>
      <c r="J760" t="s">
        <v>696</v>
      </c>
      <c r="K760" t="s">
        <v>76</v>
      </c>
      <c r="L760" t="s">
        <v>3990</v>
      </c>
      <c r="M760" t="s">
        <v>34</v>
      </c>
      <c r="N760" t="s">
        <v>4920</v>
      </c>
      <c r="O760" t="s">
        <v>186</v>
      </c>
      <c r="P760" t="s">
        <v>228</v>
      </c>
      <c r="Q760" t="s">
        <v>4921</v>
      </c>
      <c r="R760">
        <v>35.167999999999999</v>
      </c>
      <c r="S760">
        <v>4</v>
      </c>
      <c r="T760">
        <v>0.2</v>
      </c>
      <c r="U760">
        <v>8.3523999999999994</v>
      </c>
      <c r="V760">
        <v>26.8156</v>
      </c>
      <c r="W760">
        <v>28.134399999999999</v>
      </c>
      <c r="X760">
        <v>0.14916690284759618</v>
      </c>
    </row>
    <row r="761" spans="1:24" x14ac:dyDescent="0.3">
      <c r="A761" t="s">
        <v>4922</v>
      </c>
      <c r="B761" t="s">
        <v>4923</v>
      </c>
      <c r="C761" s="1">
        <v>42695</v>
      </c>
      <c r="D761" s="1">
        <v>42701</v>
      </c>
      <c r="E761" t="s">
        <v>54</v>
      </c>
      <c r="F761" t="s">
        <v>4924</v>
      </c>
      <c r="G761" t="s">
        <v>4925</v>
      </c>
      <c r="H761" t="s">
        <v>43</v>
      </c>
      <c r="I761" t="s">
        <v>30</v>
      </c>
      <c r="J761" t="s">
        <v>782</v>
      </c>
      <c r="K761" t="s">
        <v>97</v>
      </c>
      <c r="L761" t="s">
        <v>783</v>
      </c>
      <c r="M761" t="s">
        <v>99</v>
      </c>
      <c r="N761" t="s">
        <v>736</v>
      </c>
      <c r="O761" t="s">
        <v>49</v>
      </c>
      <c r="P761" t="s">
        <v>195</v>
      </c>
      <c r="Q761" t="s">
        <v>737</v>
      </c>
      <c r="R761">
        <v>1.6319999999999999</v>
      </c>
      <c r="S761">
        <v>1</v>
      </c>
      <c r="T761">
        <v>0.2</v>
      </c>
      <c r="U761">
        <v>0.55079999999999996</v>
      </c>
      <c r="V761">
        <v>1.0811999999999999</v>
      </c>
      <c r="W761">
        <v>1.3056000000000001</v>
      </c>
      <c r="X761">
        <v>0.92489826119126906</v>
      </c>
    </row>
    <row r="762" spans="1:24" x14ac:dyDescent="0.3">
      <c r="A762" t="s">
        <v>4926</v>
      </c>
      <c r="B762" t="s">
        <v>4927</v>
      </c>
      <c r="C762" s="1">
        <v>43348</v>
      </c>
      <c r="D762" s="1">
        <v>43350</v>
      </c>
      <c r="E762" t="s">
        <v>26</v>
      </c>
      <c r="F762" t="s">
        <v>4928</v>
      </c>
      <c r="G762" t="s">
        <v>4929</v>
      </c>
      <c r="H762" t="s">
        <v>43</v>
      </c>
      <c r="I762" t="s">
        <v>30</v>
      </c>
      <c r="J762" t="s">
        <v>174</v>
      </c>
      <c r="K762" t="s">
        <v>97</v>
      </c>
      <c r="L762" t="s">
        <v>1373</v>
      </c>
      <c r="M762" t="s">
        <v>99</v>
      </c>
      <c r="N762" t="s">
        <v>4930</v>
      </c>
      <c r="O762" t="s">
        <v>49</v>
      </c>
      <c r="P762" t="s">
        <v>79</v>
      </c>
      <c r="Q762" t="s">
        <v>4931</v>
      </c>
      <c r="R762">
        <v>25.92</v>
      </c>
      <c r="S762">
        <v>5</v>
      </c>
      <c r="T762">
        <v>0.2</v>
      </c>
      <c r="U762">
        <v>9.0719999999999992</v>
      </c>
      <c r="V762">
        <v>16.848000000000003</v>
      </c>
      <c r="W762">
        <v>20.736000000000004</v>
      </c>
      <c r="X762">
        <v>0.29677113010446338</v>
      </c>
    </row>
    <row r="763" spans="1:24" x14ac:dyDescent="0.3">
      <c r="A763" t="s">
        <v>4932</v>
      </c>
      <c r="B763" t="s">
        <v>4933</v>
      </c>
      <c r="C763" s="1">
        <v>43729</v>
      </c>
      <c r="D763" s="1">
        <v>43731</v>
      </c>
      <c r="E763" t="s">
        <v>180</v>
      </c>
      <c r="F763" t="s">
        <v>4934</v>
      </c>
      <c r="G763" t="s">
        <v>4935</v>
      </c>
      <c r="H763" t="s">
        <v>29</v>
      </c>
      <c r="I763" t="s">
        <v>30</v>
      </c>
      <c r="J763" t="s">
        <v>85</v>
      </c>
      <c r="K763" t="s">
        <v>86</v>
      </c>
      <c r="L763" t="s">
        <v>87</v>
      </c>
      <c r="M763" t="s">
        <v>47</v>
      </c>
      <c r="N763" t="s">
        <v>1294</v>
      </c>
      <c r="O763" t="s">
        <v>186</v>
      </c>
      <c r="P763" t="s">
        <v>228</v>
      </c>
      <c r="Q763" t="s">
        <v>1295</v>
      </c>
      <c r="R763">
        <v>71.98</v>
      </c>
      <c r="S763">
        <v>2</v>
      </c>
      <c r="T763">
        <v>0</v>
      </c>
      <c r="U763">
        <v>15.1158</v>
      </c>
      <c r="V763">
        <v>56.864200000000004</v>
      </c>
      <c r="W763">
        <v>71.98</v>
      </c>
      <c r="X763">
        <v>3.5171513887472257E-2</v>
      </c>
    </row>
    <row r="764" spans="1:24" x14ac:dyDescent="0.3">
      <c r="A764" t="s">
        <v>4936</v>
      </c>
      <c r="B764" t="s">
        <v>4937</v>
      </c>
      <c r="C764" s="1">
        <v>43265</v>
      </c>
      <c r="D764" s="1">
        <v>43265</v>
      </c>
      <c r="E764" t="s">
        <v>1152</v>
      </c>
      <c r="F764" t="s">
        <v>4938</v>
      </c>
      <c r="G764" t="s">
        <v>4939</v>
      </c>
      <c r="H764" t="s">
        <v>95</v>
      </c>
      <c r="I764" t="s">
        <v>30</v>
      </c>
      <c r="J764" t="s">
        <v>44</v>
      </c>
      <c r="K764" t="s">
        <v>45</v>
      </c>
      <c r="L764" t="s">
        <v>46</v>
      </c>
      <c r="M764" t="s">
        <v>47</v>
      </c>
      <c r="N764" t="s">
        <v>4940</v>
      </c>
      <c r="O764" t="s">
        <v>36</v>
      </c>
      <c r="P764" t="s">
        <v>37</v>
      </c>
      <c r="Q764" t="s">
        <v>4941</v>
      </c>
      <c r="R764">
        <v>599.16499999999996</v>
      </c>
      <c r="S764">
        <v>5</v>
      </c>
      <c r="T764">
        <v>0.15</v>
      </c>
      <c r="U764">
        <v>35.244999999999997</v>
      </c>
      <c r="V764">
        <v>563.91999999999996</v>
      </c>
      <c r="W764">
        <v>509.29024999999996</v>
      </c>
      <c r="X764">
        <v>8.8665058873599097E-3</v>
      </c>
    </row>
    <row r="765" spans="1:24" x14ac:dyDescent="0.3">
      <c r="A765" t="s">
        <v>4942</v>
      </c>
      <c r="B765" t="s">
        <v>4943</v>
      </c>
      <c r="C765" s="1">
        <v>43759</v>
      </c>
      <c r="D765" s="1">
        <v>43763</v>
      </c>
      <c r="E765" t="s">
        <v>54</v>
      </c>
      <c r="F765" t="s">
        <v>4944</v>
      </c>
      <c r="G765" t="s">
        <v>4945</v>
      </c>
      <c r="H765" t="s">
        <v>95</v>
      </c>
      <c r="I765" t="s">
        <v>30</v>
      </c>
      <c r="J765" t="s">
        <v>1012</v>
      </c>
      <c r="K765" t="s">
        <v>476</v>
      </c>
      <c r="L765" t="s">
        <v>4946</v>
      </c>
      <c r="M765" t="s">
        <v>147</v>
      </c>
      <c r="N765" t="s">
        <v>4947</v>
      </c>
      <c r="O765" t="s">
        <v>49</v>
      </c>
      <c r="P765" t="s">
        <v>101</v>
      </c>
      <c r="Q765" t="s">
        <v>4948</v>
      </c>
      <c r="R765">
        <v>161.56800000000001</v>
      </c>
      <c r="S765">
        <v>2</v>
      </c>
      <c r="T765">
        <v>0.2</v>
      </c>
      <c r="U765">
        <v>16.1568</v>
      </c>
      <c r="V765">
        <v>145.41120000000001</v>
      </c>
      <c r="W765">
        <v>129.2544</v>
      </c>
      <c r="X765">
        <v>1.3754098721418983E-2</v>
      </c>
    </row>
    <row r="766" spans="1:24" x14ac:dyDescent="0.3">
      <c r="A766" t="s">
        <v>4949</v>
      </c>
      <c r="B766" t="s">
        <v>4950</v>
      </c>
      <c r="C766" s="1">
        <v>43771</v>
      </c>
      <c r="D766" s="1">
        <v>43775</v>
      </c>
      <c r="E766" t="s">
        <v>54</v>
      </c>
      <c r="F766" t="s">
        <v>4951</v>
      </c>
      <c r="G766" t="s">
        <v>4952</v>
      </c>
      <c r="H766" t="s">
        <v>43</v>
      </c>
      <c r="I766" t="s">
        <v>30</v>
      </c>
      <c r="J766" t="s">
        <v>144</v>
      </c>
      <c r="K766" t="s">
        <v>145</v>
      </c>
      <c r="L766" t="s">
        <v>146</v>
      </c>
      <c r="M766" t="s">
        <v>147</v>
      </c>
      <c r="N766" t="s">
        <v>4953</v>
      </c>
      <c r="O766" t="s">
        <v>36</v>
      </c>
      <c r="P766" t="s">
        <v>69</v>
      </c>
      <c r="Q766" t="s">
        <v>4954</v>
      </c>
      <c r="R766">
        <v>3.3119999999999998</v>
      </c>
      <c r="S766">
        <v>1</v>
      </c>
      <c r="T766">
        <v>0.2</v>
      </c>
      <c r="U766">
        <v>0.66239999999999999</v>
      </c>
      <c r="V766">
        <v>2.6496</v>
      </c>
      <c r="W766">
        <v>2.6496</v>
      </c>
      <c r="X766">
        <v>0.37741545893719808</v>
      </c>
    </row>
    <row r="767" spans="1:24" x14ac:dyDescent="0.3">
      <c r="A767" t="s">
        <v>4955</v>
      </c>
      <c r="B767" t="s">
        <v>4956</v>
      </c>
      <c r="C767" s="1">
        <v>43801</v>
      </c>
      <c r="D767" s="1">
        <v>43805</v>
      </c>
      <c r="E767" t="s">
        <v>54</v>
      </c>
      <c r="F767" t="s">
        <v>4957</v>
      </c>
      <c r="G767" t="s">
        <v>4958</v>
      </c>
      <c r="H767" t="s">
        <v>29</v>
      </c>
      <c r="I767" t="s">
        <v>30</v>
      </c>
      <c r="J767" t="s">
        <v>4959</v>
      </c>
      <c r="K767" t="s">
        <v>136</v>
      </c>
      <c r="L767" t="s">
        <v>4960</v>
      </c>
      <c r="M767" t="s">
        <v>99</v>
      </c>
      <c r="N767" t="s">
        <v>4961</v>
      </c>
      <c r="O767" t="s">
        <v>186</v>
      </c>
      <c r="P767" t="s">
        <v>187</v>
      </c>
      <c r="Q767" t="s">
        <v>4962</v>
      </c>
      <c r="R767">
        <v>2479.96</v>
      </c>
      <c r="S767">
        <v>4</v>
      </c>
      <c r="T767">
        <v>0</v>
      </c>
      <c r="U767">
        <v>743.98800000000006</v>
      </c>
      <c r="V767">
        <v>1735.972</v>
      </c>
      <c r="W767">
        <v>2479.96</v>
      </c>
      <c r="X767">
        <v>2.304184629706009E-3</v>
      </c>
    </row>
    <row r="768" spans="1:24" x14ac:dyDescent="0.3">
      <c r="A768" t="s">
        <v>4963</v>
      </c>
      <c r="B768" t="s">
        <v>4964</v>
      </c>
      <c r="C768" s="1">
        <v>43003</v>
      </c>
      <c r="D768" s="1">
        <v>43007</v>
      </c>
      <c r="E768" t="s">
        <v>54</v>
      </c>
      <c r="F768" t="s">
        <v>4965</v>
      </c>
      <c r="G768" t="s">
        <v>4966</v>
      </c>
      <c r="H768" t="s">
        <v>29</v>
      </c>
      <c r="I768" t="s">
        <v>30</v>
      </c>
      <c r="J768" t="s">
        <v>75</v>
      </c>
      <c r="K768" t="s">
        <v>3852</v>
      </c>
      <c r="L768" t="s">
        <v>4967</v>
      </c>
      <c r="M768" t="s">
        <v>147</v>
      </c>
      <c r="N768" t="s">
        <v>4968</v>
      </c>
      <c r="O768" t="s">
        <v>49</v>
      </c>
      <c r="P768" t="s">
        <v>89</v>
      </c>
      <c r="Q768" t="s">
        <v>4969</v>
      </c>
      <c r="R768">
        <v>68.62</v>
      </c>
      <c r="S768">
        <v>2</v>
      </c>
      <c r="T768">
        <v>0</v>
      </c>
      <c r="U768">
        <v>32.251399999999997</v>
      </c>
      <c r="V768">
        <v>36.368600000000008</v>
      </c>
      <c r="W768">
        <v>68.62</v>
      </c>
      <c r="X768">
        <v>5.4992493524633874E-2</v>
      </c>
    </row>
    <row r="769" spans="1:24" x14ac:dyDescent="0.3">
      <c r="A769" t="s">
        <v>4970</v>
      </c>
      <c r="B769" t="s">
        <v>4971</v>
      </c>
      <c r="C769" s="1">
        <v>43708</v>
      </c>
      <c r="D769" s="1">
        <v>43713</v>
      </c>
      <c r="E769" t="s">
        <v>54</v>
      </c>
      <c r="F769" t="s">
        <v>4972</v>
      </c>
      <c r="G769" t="s">
        <v>4973</v>
      </c>
      <c r="H769" t="s">
        <v>29</v>
      </c>
      <c r="I769" t="s">
        <v>30</v>
      </c>
      <c r="J769" t="s">
        <v>696</v>
      </c>
      <c r="K769" t="s">
        <v>697</v>
      </c>
      <c r="L769" t="s">
        <v>698</v>
      </c>
      <c r="M769" t="s">
        <v>34</v>
      </c>
      <c r="N769" t="s">
        <v>4974</v>
      </c>
      <c r="O769" t="s">
        <v>186</v>
      </c>
      <c r="P769" t="s">
        <v>228</v>
      </c>
      <c r="Q769" t="s">
        <v>4975</v>
      </c>
      <c r="R769">
        <v>659.9</v>
      </c>
      <c r="S769">
        <v>2</v>
      </c>
      <c r="T769">
        <v>0</v>
      </c>
      <c r="U769">
        <v>217.767</v>
      </c>
      <c r="V769">
        <v>442.13299999999998</v>
      </c>
      <c r="W769">
        <v>659.9</v>
      </c>
      <c r="X769">
        <v>4.523525726421688E-3</v>
      </c>
    </row>
    <row r="770" spans="1:24" x14ac:dyDescent="0.3">
      <c r="A770" t="s">
        <v>4976</v>
      </c>
      <c r="B770" t="s">
        <v>4977</v>
      </c>
      <c r="C770" s="1">
        <v>42958</v>
      </c>
      <c r="D770" s="1">
        <v>42963</v>
      </c>
      <c r="E770" t="s">
        <v>54</v>
      </c>
      <c r="F770" t="s">
        <v>4978</v>
      </c>
      <c r="G770" t="s">
        <v>4979</v>
      </c>
      <c r="H770" t="s">
        <v>29</v>
      </c>
      <c r="I770" t="s">
        <v>30</v>
      </c>
      <c r="J770" t="s">
        <v>3628</v>
      </c>
      <c r="K770" t="s">
        <v>76</v>
      </c>
      <c r="L770" t="s">
        <v>3629</v>
      </c>
      <c r="M770" t="s">
        <v>34</v>
      </c>
      <c r="N770" t="s">
        <v>4328</v>
      </c>
      <c r="O770" t="s">
        <v>36</v>
      </c>
      <c r="P770" t="s">
        <v>69</v>
      </c>
      <c r="Q770" t="s">
        <v>4329</v>
      </c>
      <c r="R770">
        <v>46.152000000000001</v>
      </c>
      <c r="S770">
        <v>3</v>
      </c>
      <c r="T770">
        <v>0.2</v>
      </c>
      <c r="U770">
        <v>12.1149</v>
      </c>
      <c r="V770">
        <v>34.037100000000002</v>
      </c>
      <c r="W770">
        <v>36.921600000000005</v>
      </c>
      <c r="X770">
        <v>8.8139118785090384E-2</v>
      </c>
    </row>
    <row r="771" spans="1:24" x14ac:dyDescent="0.3">
      <c r="A771" t="s">
        <v>4980</v>
      </c>
      <c r="B771" t="s">
        <v>4981</v>
      </c>
      <c r="C771" s="1">
        <v>43565</v>
      </c>
      <c r="D771" s="1">
        <v>43569</v>
      </c>
      <c r="E771" t="s">
        <v>26</v>
      </c>
      <c r="F771" t="s">
        <v>4982</v>
      </c>
      <c r="G771" t="s">
        <v>4983</v>
      </c>
      <c r="H771" t="s">
        <v>43</v>
      </c>
      <c r="I771" t="s">
        <v>30</v>
      </c>
      <c r="J771" t="s">
        <v>1359</v>
      </c>
      <c r="K771" t="s">
        <v>58</v>
      </c>
      <c r="L771" t="s">
        <v>1360</v>
      </c>
      <c r="M771" t="s">
        <v>34</v>
      </c>
      <c r="N771" t="s">
        <v>4984</v>
      </c>
      <c r="O771" t="s">
        <v>36</v>
      </c>
      <c r="P771" t="s">
        <v>69</v>
      </c>
      <c r="Q771" t="s">
        <v>4985</v>
      </c>
      <c r="R771">
        <v>12.32</v>
      </c>
      <c r="S771">
        <v>5</v>
      </c>
      <c r="T771">
        <v>0.2</v>
      </c>
      <c r="U771">
        <v>1.8480000000000001</v>
      </c>
      <c r="V771">
        <v>10.472</v>
      </c>
      <c r="W771">
        <v>9.8560000000000016</v>
      </c>
      <c r="X771">
        <v>0.47746371275783045</v>
      </c>
    </row>
    <row r="772" spans="1:24" x14ac:dyDescent="0.3">
      <c r="A772" t="s">
        <v>4986</v>
      </c>
      <c r="B772" t="s">
        <v>4987</v>
      </c>
      <c r="C772" s="1">
        <v>43796</v>
      </c>
      <c r="D772" s="1">
        <v>43802</v>
      </c>
      <c r="E772" t="s">
        <v>54</v>
      </c>
      <c r="F772" t="s">
        <v>4988</v>
      </c>
      <c r="G772" t="s">
        <v>4989</v>
      </c>
      <c r="H772" t="s">
        <v>29</v>
      </c>
      <c r="I772" t="s">
        <v>30</v>
      </c>
      <c r="J772" t="s">
        <v>44</v>
      </c>
      <c r="K772" t="s">
        <v>45</v>
      </c>
      <c r="L772" t="s">
        <v>46</v>
      </c>
      <c r="M772" t="s">
        <v>47</v>
      </c>
      <c r="N772" t="s">
        <v>4990</v>
      </c>
      <c r="O772" t="s">
        <v>186</v>
      </c>
      <c r="P772" t="s">
        <v>187</v>
      </c>
      <c r="Q772" t="s">
        <v>4991</v>
      </c>
      <c r="R772">
        <v>57.567999999999998</v>
      </c>
      <c r="S772">
        <v>4</v>
      </c>
      <c r="T772">
        <v>0.2</v>
      </c>
      <c r="U772">
        <v>5.7568000000000001</v>
      </c>
      <c r="V772">
        <v>51.811199999999999</v>
      </c>
      <c r="W772">
        <v>46.054400000000001</v>
      </c>
      <c r="X772">
        <v>7.7203384596380709E-2</v>
      </c>
    </row>
    <row r="773" spans="1:24" x14ac:dyDescent="0.3">
      <c r="A773" t="s">
        <v>4992</v>
      </c>
      <c r="B773" t="s">
        <v>4993</v>
      </c>
      <c r="C773" s="1">
        <v>43746</v>
      </c>
      <c r="D773" s="1">
        <v>43749</v>
      </c>
      <c r="E773" t="s">
        <v>180</v>
      </c>
      <c r="F773" t="s">
        <v>4994</v>
      </c>
      <c r="G773" t="s">
        <v>4995</v>
      </c>
      <c r="H773" t="s">
        <v>43</v>
      </c>
      <c r="I773" t="s">
        <v>30</v>
      </c>
      <c r="J773" t="s">
        <v>4996</v>
      </c>
      <c r="K773" t="s">
        <v>1266</v>
      </c>
      <c r="L773" t="s">
        <v>4997</v>
      </c>
      <c r="M773" t="s">
        <v>147</v>
      </c>
      <c r="N773" t="s">
        <v>4998</v>
      </c>
      <c r="O773" t="s">
        <v>49</v>
      </c>
      <c r="P773" t="s">
        <v>111</v>
      </c>
      <c r="Q773" t="s">
        <v>4999</v>
      </c>
      <c r="R773">
        <v>42.76</v>
      </c>
      <c r="S773">
        <v>1</v>
      </c>
      <c r="T773">
        <v>0</v>
      </c>
      <c r="U773">
        <v>11.117599999999999</v>
      </c>
      <c r="V773">
        <v>31.642399999999999</v>
      </c>
      <c r="W773">
        <v>42.76</v>
      </c>
      <c r="X773">
        <v>3.1603165373043765E-2</v>
      </c>
    </row>
    <row r="774" spans="1:24" x14ac:dyDescent="0.3">
      <c r="A774" t="s">
        <v>5000</v>
      </c>
      <c r="B774" t="s">
        <v>5001</v>
      </c>
      <c r="C774" s="1">
        <v>42850</v>
      </c>
      <c r="D774" s="1">
        <v>42855</v>
      </c>
      <c r="E774" t="s">
        <v>54</v>
      </c>
      <c r="F774" t="s">
        <v>5002</v>
      </c>
      <c r="G774" t="s">
        <v>5003</v>
      </c>
      <c r="H774" t="s">
        <v>29</v>
      </c>
      <c r="I774" t="s">
        <v>30</v>
      </c>
      <c r="J774" t="s">
        <v>2218</v>
      </c>
      <c r="K774" t="s">
        <v>108</v>
      </c>
      <c r="L774" t="s">
        <v>2219</v>
      </c>
      <c r="M774" t="s">
        <v>99</v>
      </c>
      <c r="N774" t="s">
        <v>2431</v>
      </c>
      <c r="O774" t="s">
        <v>49</v>
      </c>
      <c r="P774" t="s">
        <v>129</v>
      </c>
      <c r="Q774" t="s">
        <v>2432</v>
      </c>
      <c r="R774">
        <v>57.75</v>
      </c>
      <c r="S774">
        <v>5</v>
      </c>
      <c r="T774">
        <v>0</v>
      </c>
      <c r="U774">
        <v>16.170000000000002</v>
      </c>
      <c r="V774">
        <v>41.58</v>
      </c>
      <c r="W774">
        <v>57.75</v>
      </c>
      <c r="X774">
        <v>0.12025012025012026</v>
      </c>
    </row>
    <row r="775" spans="1:24" x14ac:dyDescent="0.3">
      <c r="A775" t="s">
        <v>5004</v>
      </c>
      <c r="B775" t="s">
        <v>5005</v>
      </c>
      <c r="C775" s="1">
        <v>43550</v>
      </c>
      <c r="D775" s="1">
        <v>43557</v>
      </c>
      <c r="E775" t="s">
        <v>54</v>
      </c>
      <c r="F775" t="s">
        <v>5006</v>
      </c>
      <c r="G775" t="s">
        <v>5007</v>
      </c>
      <c r="H775" t="s">
        <v>95</v>
      </c>
      <c r="I775" t="s">
        <v>30</v>
      </c>
      <c r="J775" t="s">
        <v>2537</v>
      </c>
      <c r="K775" t="s">
        <v>304</v>
      </c>
      <c r="L775" t="s">
        <v>2538</v>
      </c>
      <c r="M775" t="s">
        <v>34</v>
      </c>
      <c r="N775" t="s">
        <v>4188</v>
      </c>
      <c r="O775" t="s">
        <v>186</v>
      </c>
      <c r="P775" t="s">
        <v>228</v>
      </c>
      <c r="Q775" t="s">
        <v>4189</v>
      </c>
      <c r="R775">
        <v>53.25</v>
      </c>
      <c r="S775">
        <v>3</v>
      </c>
      <c r="T775">
        <v>0</v>
      </c>
      <c r="U775">
        <v>20.767499999999998</v>
      </c>
      <c r="V775">
        <v>32.482500000000002</v>
      </c>
      <c r="W775">
        <v>53.25</v>
      </c>
      <c r="X775">
        <v>9.2357423227891935E-2</v>
      </c>
    </row>
    <row r="776" spans="1:24" x14ac:dyDescent="0.3">
      <c r="A776" t="s">
        <v>5008</v>
      </c>
      <c r="B776" t="s">
        <v>5009</v>
      </c>
      <c r="C776" s="1">
        <v>43328</v>
      </c>
      <c r="D776" s="1">
        <v>43331</v>
      </c>
      <c r="E776" t="s">
        <v>180</v>
      </c>
      <c r="F776" t="s">
        <v>5010</v>
      </c>
      <c r="G776" t="s">
        <v>5011</v>
      </c>
      <c r="H776" t="s">
        <v>43</v>
      </c>
      <c r="I776" t="s">
        <v>30</v>
      </c>
      <c r="J776" t="s">
        <v>44</v>
      </c>
      <c r="K776" t="s">
        <v>45</v>
      </c>
      <c r="L776" t="s">
        <v>627</v>
      </c>
      <c r="M776" t="s">
        <v>47</v>
      </c>
      <c r="N776" t="s">
        <v>5012</v>
      </c>
      <c r="O776" t="s">
        <v>36</v>
      </c>
      <c r="P776" t="s">
        <v>61</v>
      </c>
      <c r="Q776" t="s">
        <v>5013</v>
      </c>
      <c r="R776">
        <v>161.28</v>
      </c>
      <c r="S776">
        <v>2</v>
      </c>
      <c r="T776">
        <v>0.2</v>
      </c>
      <c r="U776">
        <v>12.096</v>
      </c>
      <c r="V776">
        <v>149.184</v>
      </c>
      <c r="W776">
        <v>129.024</v>
      </c>
      <c r="X776">
        <v>1.3406263406263406E-2</v>
      </c>
    </row>
    <row r="777" spans="1:24" x14ac:dyDescent="0.3">
      <c r="A777" t="s">
        <v>5014</v>
      </c>
      <c r="B777" t="s">
        <v>5015</v>
      </c>
      <c r="C777" s="1">
        <v>43453</v>
      </c>
      <c r="D777" s="1">
        <v>43458</v>
      </c>
      <c r="E777" t="s">
        <v>26</v>
      </c>
      <c r="F777" t="s">
        <v>5016</v>
      </c>
      <c r="G777" t="s">
        <v>5017</v>
      </c>
      <c r="H777" t="s">
        <v>43</v>
      </c>
      <c r="I777" t="s">
        <v>30</v>
      </c>
      <c r="J777" t="s">
        <v>261</v>
      </c>
      <c r="K777" t="s">
        <v>262</v>
      </c>
      <c r="L777" t="s">
        <v>459</v>
      </c>
      <c r="M777" t="s">
        <v>147</v>
      </c>
      <c r="N777" t="s">
        <v>4805</v>
      </c>
      <c r="O777" t="s">
        <v>49</v>
      </c>
      <c r="P777" t="s">
        <v>89</v>
      </c>
      <c r="Q777" t="s">
        <v>4806</v>
      </c>
      <c r="R777">
        <v>34.247999999999998</v>
      </c>
      <c r="S777">
        <v>3</v>
      </c>
      <c r="T777">
        <v>0.2</v>
      </c>
      <c r="U777">
        <v>11.5587</v>
      </c>
      <c r="V777">
        <v>22.689299999999996</v>
      </c>
      <c r="W777">
        <v>27.398399999999999</v>
      </c>
      <c r="X777">
        <v>0.13222091470428796</v>
      </c>
    </row>
    <row r="778" spans="1:24" x14ac:dyDescent="0.3">
      <c r="A778" t="s">
        <v>5018</v>
      </c>
      <c r="B778" t="s">
        <v>5019</v>
      </c>
      <c r="C778" s="1">
        <v>42940</v>
      </c>
      <c r="D778" s="1">
        <v>42944</v>
      </c>
      <c r="E778" t="s">
        <v>54</v>
      </c>
      <c r="F778" t="s">
        <v>5020</v>
      </c>
      <c r="G778" t="s">
        <v>5021</v>
      </c>
      <c r="H778" t="s">
        <v>95</v>
      </c>
      <c r="I778" t="s">
        <v>30</v>
      </c>
      <c r="J778" t="s">
        <v>2258</v>
      </c>
      <c r="K778" t="s">
        <v>32</v>
      </c>
      <c r="L778" t="s">
        <v>2259</v>
      </c>
      <c r="M778" t="s">
        <v>34</v>
      </c>
      <c r="N778" t="s">
        <v>68</v>
      </c>
      <c r="O778" t="s">
        <v>36</v>
      </c>
      <c r="P778" t="s">
        <v>69</v>
      </c>
      <c r="Q778" t="s">
        <v>70</v>
      </c>
      <c r="R778">
        <v>20.94</v>
      </c>
      <c r="S778">
        <v>3</v>
      </c>
      <c r="T778">
        <v>0</v>
      </c>
      <c r="U778">
        <v>6.0726000000000004</v>
      </c>
      <c r="V778">
        <v>14.8674</v>
      </c>
      <c r="W778">
        <v>20.94</v>
      </c>
      <c r="X778">
        <v>0.20178376851366076</v>
      </c>
    </row>
    <row r="779" spans="1:24" x14ac:dyDescent="0.3">
      <c r="A779" t="s">
        <v>5022</v>
      </c>
      <c r="B779" t="s">
        <v>5023</v>
      </c>
      <c r="C779" s="1">
        <v>43277</v>
      </c>
      <c r="D779" s="1">
        <v>43281</v>
      </c>
      <c r="E779" t="s">
        <v>54</v>
      </c>
      <c r="F779" t="s">
        <v>5024</v>
      </c>
      <c r="G779" t="s">
        <v>5025</v>
      </c>
      <c r="H779" t="s">
        <v>43</v>
      </c>
      <c r="I779" t="s">
        <v>30</v>
      </c>
      <c r="J779" t="s">
        <v>286</v>
      </c>
      <c r="K779" t="s">
        <v>202</v>
      </c>
      <c r="L779" t="s">
        <v>1592</v>
      </c>
      <c r="M779" t="s">
        <v>99</v>
      </c>
      <c r="N779" t="s">
        <v>607</v>
      </c>
      <c r="O779" t="s">
        <v>49</v>
      </c>
      <c r="P779" t="s">
        <v>129</v>
      </c>
      <c r="Q779" t="s">
        <v>608</v>
      </c>
      <c r="R779">
        <v>5.3040000000000003</v>
      </c>
      <c r="S779">
        <v>3</v>
      </c>
      <c r="T779">
        <v>0.2</v>
      </c>
      <c r="U779">
        <v>0.46410000000000001</v>
      </c>
      <c r="V779">
        <v>4.8399000000000001</v>
      </c>
      <c r="W779">
        <v>4.2432000000000007</v>
      </c>
      <c r="X779">
        <v>0.61984751751069234</v>
      </c>
    </row>
    <row r="780" spans="1:24" x14ac:dyDescent="0.3">
      <c r="A780" t="s">
        <v>5026</v>
      </c>
      <c r="B780" t="s">
        <v>5027</v>
      </c>
      <c r="C780" s="1">
        <v>42619</v>
      </c>
      <c r="D780" s="1">
        <v>42622</v>
      </c>
      <c r="E780" t="s">
        <v>180</v>
      </c>
      <c r="F780" t="s">
        <v>5028</v>
      </c>
      <c r="G780" t="s">
        <v>5029</v>
      </c>
      <c r="H780" t="s">
        <v>43</v>
      </c>
      <c r="I780" t="s">
        <v>30</v>
      </c>
      <c r="J780" t="s">
        <v>126</v>
      </c>
      <c r="K780" t="s">
        <v>45</v>
      </c>
      <c r="L780" t="s">
        <v>127</v>
      </c>
      <c r="M780" t="s">
        <v>47</v>
      </c>
      <c r="N780" t="s">
        <v>68</v>
      </c>
      <c r="O780" t="s">
        <v>36</v>
      </c>
      <c r="P780" t="s">
        <v>69</v>
      </c>
      <c r="Q780" t="s">
        <v>70</v>
      </c>
      <c r="R780">
        <v>41.88</v>
      </c>
      <c r="S780">
        <v>6</v>
      </c>
      <c r="T780">
        <v>0</v>
      </c>
      <c r="U780">
        <v>12.145200000000001</v>
      </c>
      <c r="V780">
        <v>29.7348</v>
      </c>
      <c r="W780">
        <v>41.88</v>
      </c>
      <c r="X780">
        <v>0.20178376851366076</v>
      </c>
    </row>
    <row r="781" spans="1:24" x14ac:dyDescent="0.3">
      <c r="A781" t="s">
        <v>5030</v>
      </c>
      <c r="B781" t="s">
        <v>5031</v>
      </c>
      <c r="C781" s="1">
        <v>43723</v>
      </c>
      <c r="D781" s="1">
        <v>43727</v>
      </c>
      <c r="E781" t="s">
        <v>54</v>
      </c>
      <c r="F781" t="s">
        <v>5032</v>
      </c>
      <c r="G781" t="s">
        <v>5033</v>
      </c>
      <c r="H781" t="s">
        <v>43</v>
      </c>
      <c r="I781" t="s">
        <v>30</v>
      </c>
      <c r="J781" t="s">
        <v>1012</v>
      </c>
      <c r="K781" t="s">
        <v>751</v>
      </c>
      <c r="L781" t="s">
        <v>1013</v>
      </c>
      <c r="M781" t="s">
        <v>147</v>
      </c>
      <c r="N781" t="s">
        <v>4671</v>
      </c>
      <c r="O781" t="s">
        <v>36</v>
      </c>
      <c r="P781" t="s">
        <v>69</v>
      </c>
      <c r="Q781" t="s">
        <v>4672</v>
      </c>
      <c r="R781">
        <v>47.4</v>
      </c>
      <c r="S781">
        <v>5</v>
      </c>
      <c r="T781">
        <v>0</v>
      </c>
      <c r="U781">
        <v>18.96</v>
      </c>
      <c r="V781">
        <v>28.439999999999998</v>
      </c>
      <c r="W781">
        <v>47.4</v>
      </c>
      <c r="X781">
        <v>0.17580872011251761</v>
      </c>
    </row>
    <row r="782" spans="1:24" x14ac:dyDescent="0.3">
      <c r="A782" t="s">
        <v>5034</v>
      </c>
      <c r="B782" t="s">
        <v>5035</v>
      </c>
      <c r="C782" s="1">
        <v>43420</v>
      </c>
      <c r="D782" s="1">
        <v>43421</v>
      </c>
      <c r="E782" t="s">
        <v>180</v>
      </c>
      <c r="F782" t="s">
        <v>5036</v>
      </c>
      <c r="G782" t="s">
        <v>5037</v>
      </c>
      <c r="H782" t="s">
        <v>29</v>
      </c>
      <c r="I782" t="s">
        <v>30</v>
      </c>
      <c r="J782" t="s">
        <v>539</v>
      </c>
      <c r="K782" t="s">
        <v>45</v>
      </c>
      <c r="L782" t="s">
        <v>540</v>
      </c>
      <c r="M782" t="s">
        <v>47</v>
      </c>
      <c r="N782" t="s">
        <v>5038</v>
      </c>
      <c r="O782" t="s">
        <v>49</v>
      </c>
      <c r="P782" t="s">
        <v>89</v>
      </c>
      <c r="Q782" t="s">
        <v>5039</v>
      </c>
      <c r="R782">
        <v>8.32</v>
      </c>
      <c r="S782">
        <v>5</v>
      </c>
      <c r="T782">
        <v>0.2</v>
      </c>
      <c r="U782">
        <v>2.8079999999999998</v>
      </c>
      <c r="V782">
        <v>5.5120000000000005</v>
      </c>
      <c r="W782">
        <v>6.6560000000000006</v>
      </c>
      <c r="X782">
        <v>0.90711175616835982</v>
      </c>
    </row>
    <row r="783" spans="1:24" x14ac:dyDescent="0.3">
      <c r="A783" t="s">
        <v>5040</v>
      </c>
      <c r="B783" t="s">
        <v>5041</v>
      </c>
      <c r="C783" s="1">
        <v>43295</v>
      </c>
      <c r="D783" s="1">
        <v>43300</v>
      </c>
      <c r="E783" t="s">
        <v>54</v>
      </c>
      <c r="F783" t="s">
        <v>5042</v>
      </c>
      <c r="G783" t="s">
        <v>5043</v>
      </c>
      <c r="H783" t="s">
        <v>29</v>
      </c>
      <c r="I783" t="s">
        <v>30</v>
      </c>
      <c r="J783" t="s">
        <v>475</v>
      </c>
      <c r="K783" t="s">
        <v>1136</v>
      </c>
      <c r="L783" t="s">
        <v>1137</v>
      </c>
      <c r="M783" t="s">
        <v>34</v>
      </c>
      <c r="N783" t="s">
        <v>5044</v>
      </c>
      <c r="O783" t="s">
        <v>49</v>
      </c>
      <c r="P783" t="s">
        <v>89</v>
      </c>
      <c r="Q783" t="s">
        <v>5045</v>
      </c>
      <c r="R783">
        <v>36.4</v>
      </c>
      <c r="S783">
        <v>5</v>
      </c>
      <c r="T783">
        <v>0</v>
      </c>
      <c r="U783">
        <v>17.108000000000001</v>
      </c>
      <c r="V783">
        <v>19.291999999999998</v>
      </c>
      <c r="W783">
        <v>36.4</v>
      </c>
      <c r="X783">
        <v>0.25917478747667427</v>
      </c>
    </row>
    <row r="784" spans="1:24" x14ac:dyDescent="0.3">
      <c r="A784" t="s">
        <v>5046</v>
      </c>
      <c r="B784" t="s">
        <v>5047</v>
      </c>
      <c r="C784" s="1">
        <v>42653</v>
      </c>
      <c r="D784" s="1">
        <v>42658</v>
      </c>
      <c r="E784" t="s">
        <v>54</v>
      </c>
      <c r="F784" t="s">
        <v>5048</v>
      </c>
      <c r="G784" t="s">
        <v>5049</v>
      </c>
      <c r="H784" t="s">
        <v>43</v>
      </c>
      <c r="I784" t="s">
        <v>30</v>
      </c>
      <c r="J784" t="s">
        <v>1469</v>
      </c>
      <c r="K784" t="s">
        <v>97</v>
      </c>
      <c r="L784" t="s">
        <v>1470</v>
      </c>
      <c r="M784" t="s">
        <v>99</v>
      </c>
      <c r="N784" t="s">
        <v>5050</v>
      </c>
      <c r="O784" t="s">
        <v>186</v>
      </c>
      <c r="P784" t="s">
        <v>187</v>
      </c>
      <c r="Q784" t="s">
        <v>5051</v>
      </c>
      <c r="R784">
        <v>719.952</v>
      </c>
      <c r="S784">
        <v>6</v>
      </c>
      <c r="T784">
        <v>0.2</v>
      </c>
      <c r="U784">
        <v>71.995199999999997</v>
      </c>
      <c r="V784">
        <v>647.95680000000004</v>
      </c>
      <c r="W784">
        <v>575.96159999999998</v>
      </c>
      <c r="X784">
        <v>9.2598765843648831E-3</v>
      </c>
    </row>
    <row r="785" spans="1:24" x14ac:dyDescent="0.3">
      <c r="A785" t="s">
        <v>5052</v>
      </c>
      <c r="B785" t="s">
        <v>5053</v>
      </c>
      <c r="C785" s="1">
        <v>42816</v>
      </c>
      <c r="D785" s="1">
        <v>42821</v>
      </c>
      <c r="E785" t="s">
        <v>54</v>
      </c>
      <c r="F785" t="s">
        <v>5054</v>
      </c>
      <c r="G785" t="s">
        <v>5055</v>
      </c>
      <c r="H785" t="s">
        <v>43</v>
      </c>
      <c r="I785" t="s">
        <v>30</v>
      </c>
      <c r="J785" t="s">
        <v>1469</v>
      </c>
      <c r="K785" t="s">
        <v>335</v>
      </c>
      <c r="L785" t="s">
        <v>3913</v>
      </c>
      <c r="M785" t="s">
        <v>34</v>
      </c>
      <c r="N785" t="s">
        <v>5056</v>
      </c>
      <c r="O785" t="s">
        <v>49</v>
      </c>
      <c r="P785" t="s">
        <v>129</v>
      </c>
      <c r="Q785" t="s">
        <v>5057</v>
      </c>
      <c r="R785">
        <v>19.559999999999999</v>
      </c>
      <c r="S785">
        <v>4</v>
      </c>
      <c r="T785">
        <v>0</v>
      </c>
      <c r="U785">
        <v>5.4767999999999999</v>
      </c>
      <c r="V785">
        <v>14.083199999999998</v>
      </c>
      <c r="W785">
        <v>19.559999999999999</v>
      </c>
      <c r="X785">
        <v>0.2840263576459896</v>
      </c>
    </row>
    <row r="786" spans="1:24" x14ac:dyDescent="0.3">
      <c r="A786" t="s">
        <v>5058</v>
      </c>
      <c r="B786" t="s">
        <v>5059</v>
      </c>
      <c r="C786" s="1">
        <v>43393</v>
      </c>
      <c r="D786" s="1">
        <v>43399</v>
      </c>
      <c r="E786" t="s">
        <v>54</v>
      </c>
      <c r="F786" t="s">
        <v>5060</v>
      </c>
      <c r="G786" t="s">
        <v>5061</v>
      </c>
      <c r="H786" t="s">
        <v>95</v>
      </c>
      <c r="I786" t="s">
        <v>30</v>
      </c>
      <c r="J786" t="s">
        <v>1020</v>
      </c>
      <c r="K786" t="s">
        <v>304</v>
      </c>
      <c r="L786" t="s">
        <v>1021</v>
      </c>
      <c r="M786" t="s">
        <v>34</v>
      </c>
      <c r="N786" t="s">
        <v>5062</v>
      </c>
      <c r="O786" t="s">
        <v>36</v>
      </c>
      <c r="P786" t="s">
        <v>69</v>
      </c>
      <c r="Q786" t="s">
        <v>5063</v>
      </c>
      <c r="R786">
        <v>61.1</v>
      </c>
      <c r="S786">
        <v>5</v>
      </c>
      <c r="T786">
        <v>0</v>
      </c>
      <c r="U786">
        <v>18.329999999999998</v>
      </c>
      <c r="V786">
        <v>42.77</v>
      </c>
      <c r="W786">
        <v>61.1</v>
      </c>
      <c r="X786">
        <v>0.11690437222352115</v>
      </c>
    </row>
    <row r="787" spans="1:24" x14ac:dyDescent="0.3">
      <c r="A787" t="s">
        <v>5064</v>
      </c>
      <c r="B787" t="s">
        <v>5065</v>
      </c>
      <c r="C787" s="1">
        <v>43130</v>
      </c>
      <c r="D787" s="1">
        <v>43135</v>
      </c>
      <c r="E787" t="s">
        <v>54</v>
      </c>
      <c r="F787" t="s">
        <v>5066</v>
      </c>
      <c r="G787" t="s">
        <v>5067</v>
      </c>
      <c r="H787" t="s">
        <v>43</v>
      </c>
      <c r="I787" t="s">
        <v>30</v>
      </c>
      <c r="J787" t="s">
        <v>286</v>
      </c>
      <c r="K787" t="s">
        <v>202</v>
      </c>
      <c r="L787" t="s">
        <v>358</v>
      </c>
      <c r="M787" t="s">
        <v>99</v>
      </c>
      <c r="N787" t="s">
        <v>5068</v>
      </c>
      <c r="O787" t="s">
        <v>49</v>
      </c>
      <c r="P787" t="s">
        <v>79</v>
      </c>
      <c r="Q787" t="s">
        <v>5069</v>
      </c>
      <c r="R787">
        <v>156.512</v>
      </c>
      <c r="S787">
        <v>4</v>
      </c>
      <c r="T787">
        <v>0.2</v>
      </c>
      <c r="U787">
        <v>52.822800000000001</v>
      </c>
      <c r="V787">
        <v>103.6892</v>
      </c>
      <c r="W787">
        <v>125.20960000000001</v>
      </c>
      <c r="X787">
        <v>3.8576823815787954E-2</v>
      </c>
    </row>
    <row r="788" spans="1:24" x14ac:dyDescent="0.3">
      <c r="A788" t="s">
        <v>5070</v>
      </c>
      <c r="B788" t="s">
        <v>5071</v>
      </c>
      <c r="C788" s="1">
        <v>43551</v>
      </c>
      <c r="D788" s="1">
        <v>43555</v>
      </c>
      <c r="E788" t="s">
        <v>54</v>
      </c>
      <c r="F788" t="s">
        <v>5072</v>
      </c>
      <c r="G788" t="s">
        <v>5073</v>
      </c>
      <c r="H788" t="s">
        <v>95</v>
      </c>
      <c r="I788" t="s">
        <v>30</v>
      </c>
      <c r="J788" t="s">
        <v>2866</v>
      </c>
      <c r="K788" t="s">
        <v>45</v>
      </c>
      <c r="L788" t="s">
        <v>2867</v>
      </c>
      <c r="M788" t="s">
        <v>47</v>
      </c>
      <c r="N788" t="s">
        <v>3907</v>
      </c>
      <c r="O788" t="s">
        <v>49</v>
      </c>
      <c r="P788" t="s">
        <v>79</v>
      </c>
      <c r="Q788" t="s">
        <v>3908</v>
      </c>
      <c r="R788">
        <v>45.68</v>
      </c>
      <c r="S788">
        <v>2</v>
      </c>
      <c r="T788">
        <v>0</v>
      </c>
      <c r="U788">
        <v>21.012799999999999</v>
      </c>
      <c r="V788">
        <v>24.667200000000001</v>
      </c>
      <c r="W788">
        <v>45.68</v>
      </c>
      <c r="X788">
        <v>8.1079328014529412E-2</v>
      </c>
    </row>
    <row r="789" spans="1:24" x14ac:dyDescent="0.3">
      <c r="A789" t="s">
        <v>5074</v>
      </c>
      <c r="B789" t="s">
        <v>5075</v>
      </c>
      <c r="C789" s="1">
        <v>42893</v>
      </c>
      <c r="D789" s="1">
        <v>42897</v>
      </c>
      <c r="E789" t="s">
        <v>54</v>
      </c>
      <c r="F789" t="s">
        <v>5076</v>
      </c>
      <c r="G789" t="s">
        <v>5077</v>
      </c>
      <c r="H789" t="s">
        <v>95</v>
      </c>
      <c r="I789" t="s">
        <v>30</v>
      </c>
      <c r="J789" t="s">
        <v>144</v>
      </c>
      <c r="K789" t="s">
        <v>145</v>
      </c>
      <c r="L789" t="s">
        <v>1052</v>
      </c>
      <c r="M789" t="s">
        <v>147</v>
      </c>
      <c r="N789" t="s">
        <v>2601</v>
      </c>
      <c r="O789" t="s">
        <v>49</v>
      </c>
      <c r="P789" t="s">
        <v>89</v>
      </c>
      <c r="Q789" t="s">
        <v>2602</v>
      </c>
      <c r="R789">
        <v>18.312000000000001</v>
      </c>
      <c r="S789">
        <v>4</v>
      </c>
      <c r="T789">
        <v>0.7</v>
      </c>
      <c r="U789">
        <v>-12.208</v>
      </c>
      <c r="V789">
        <v>30.520000000000003</v>
      </c>
      <c r="W789">
        <v>5.4936000000000016</v>
      </c>
      <c r="X789">
        <v>0.13106159895150721</v>
      </c>
    </row>
    <row r="790" spans="1:24" x14ac:dyDescent="0.3">
      <c r="A790" t="s">
        <v>5078</v>
      </c>
      <c r="B790" t="s">
        <v>5079</v>
      </c>
      <c r="C790" s="1">
        <v>43464</v>
      </c>
      <c r="D790" s="1">
        <v>43467</v>
      </c>
      <c r="E790" t="s">
        <v>180</v>
      </c>
      <c r="F790" t="s">
        <v>5080</v>
      </c>
      <c r="G790" t="s">
        <v>5081</v>
      </c>
      <c r="H790" t="s">
        <v>43</v>
      </c>
      <c r="I790" t="s">
        <v>30</v>
      </c>
      <c r="J790" t="s">
        <v>144</v>
      </c>
      <c r="K790" t="s">
        <v>145</v>
      </c>
      <c r="L790" t="s">
        <v>146</v>
      </c>
      <c r="M790" t="s">
        <v>147</v>
      </c>
      <c r="N790" t="s">
        <v>5082</v>
      </c>
      <c r="O790" t="s">
        <v>49</v>
      </c>
      <c r="P790" t="s">
        <v>129</v>
      </c>
      <c r="Q790" t="s">
        <v>5083</v>
      </c>
      <c r="R790">
        <v>16.52</v>
      </c>
      <c r="S790">
        <v>5</v>
      </c>
      <c r="T790">
        <v>0.2</v>
      </c>
      <c r="U790">
        <v>1.6519999999999999</v>
      </c>
      <c r="V790">
        <v>14.868</v>
      </c>
      <c r="W790">
        <v>13.216000000000001</v>
      </c>
      <c r="X790">
        <v>0.33629270917406512</v>
      </c>
    </row>
    <row r="791" spans="1:24" x14ac:dyDescent="0.3">
      <c r="A791" t="s">
        <v>5084</v>
      </c>
      <c r="B791" t="s">
        <v>5085</v>
      </c>
      <c r="C791" s="1">
        <v>43810</v>
      </c>
      <c r="D791" s="1">
        <v>43813</v>
      </c>
      <c r="E791" t="s">
        <v>26</v>
      </c>
      <c r="F791" t="s">
        <v>5086</v>
      </c>
      <c r="G791" t="s">
        <v>5087</v>
      </c>
      <c r="H791" t="s">
        <v>95</v>
      </c>
      <c r="I791" t="s">
        <v>30</v>
      </c>
      <c r="J791" t="s">
        <v>1935</v>
      </c>
      <c r="K791" t="s">
        <v>467</v>
      </c>
      <c r="L791" t="s">
        <v>5088</v>
      </c>
      <c r="M791" t="s">
        <v>99</v>
      </c>
      <c r="N791" t="s">
        <v>5089</v>
      </c>
      <c r="O791" t="s">
        <v>49</v>
      </c>
      <c r="P791" t="s">
        <v>195</v>
      </c>
      <c r="Q791" t="s">
        <v>5090</v>
      </c>
      <c r="R791">
        <v>7.28</v>
      </c>
      <c r="S791">
        <v>1</v>
      </c>
      <c r="T791">
        <v>0</v>
      </c>
      <c r="U791">
        <v>3.4944000000000002</v>
      </c>
      <c r="V791">
        <v>3.7856000000000001</v>
      </c>
      <c r="W791">
        <v>7.28</v>
      </c>
      <c r="X791">
        <v>0.26415891800507185</v>
      </c>
    </row>
    <row r="792" spans="1:24" x14ac:dyDescent="0.3">
      <c r="A792" t="s">
        <v>5091</v>
      </c>
      <c r="B792" t="s">
        <v>5092</v>
      </c>
      <c r="C792" s="1">
        <v>43415</v>
      </c>
      <c r="D792" s="1">
        <v>43419</v>
      </c>
      <c r="E792" t="s">
        <v>54</v>
      </c>
      <c r="F792" t="s">
        <v>5093</v>
      </c>
      <c r="G792" t="s">
        <v>5094</v>
      </c>
      <c r="H792" t="s">
        <v>29</v>
      </c>
      <c r="I792" t="s">
        <v>30</v>
      </c>
      <c r="J792" t="s">
        <v>5095</v>
      </c>
      <c r="K792" t="s">
        <v>202</v>
      </c>
      <c r="L792" t="s">
        <v>5096</v>
      </c>
      <c r="M792" t="s">
        <v>99</v>
      </c>
      <c r="N792" t="s">
        <v>1688</v>
      </c>
      <c r="O792" t="s">
        <v>49</v>
      </c>
      <c r="P792" t="s">
        <v>129</v>
      </c>
      <c r="Q792" t="s">
        <v>1689</v>
      </c>
      <c r="R792">
        <v>14.112</v>
      </c>
      <c r="S792">
        <v>6</v>
      </c>
      <c r="T792">
        <v>0.2</v>
      </c>
      <c r="U792">
        <v>1.2347999999999999</v>
      </c>
      <c r="V792">
        <v>12.8772</v>
      </c>
      <c r="W792">
        <v>11.2896</v>
      </c>
      <c r="X792">
        <v>0.46593980057776535</v>
      </c>
    </row>
    <row r="793" spans="1:24" x14ac:dyDescent="0.3">
      <c r="A793" t="s">
        <v>5097</v>
      </c>
      <c r="B793" t="s">
        <v>5098</v>
      </c>
      <c r="C793" s="1">
        <v>42733</v>
      </c>
      <c r="D793" s="1">
        <v>42735</v>
      </c>
      <c r="E793" t="s">
        <v>26</v>
      </c>
      <c r="F793" t="s">
        <v>5099</v>
      </c>
      <c r="G793" t="s">
        <v>5100</v>
      </c>
      <c r="H793" t="s">
        <v>29</v>
      </c>
      <c r="I793" t="s">
        <v>30</v>
      </c>
      <c r="J793" t="s">
        <v>3425</v>
      </c>
      <c r="K793" t="s">
        <v>476</v>
      </c>
      <c r="L793" t="s">
        <v>3894</v>
      </c>
      <c r="M793" t="s">
        <v>147</v>
      </c>
      <c r="N793" t="s">
        <v>5101</v>
      </c>
      <c r="O793" t="s">
        <v>49</v>
      </c>
      <c r="P793" t="s">
        <v>101</v>
      </c>
      <c r="Q793" t="s">
        <v>5102</v>
      </c>
      <c r="R793">
        <v>48.36</v>
      </c>
      <c r="S793">
        <v>5</v>
      </c>
      <c r="T793">
        <v>0.2</v>
      </c>
      <c r="U793">
        <v>6.0449999999999999</v>
      </c>
      <c r="V793">
        <v>42.314999999999998</v>
      </c>
      <c r="W793">
        <v>38.688000000000002</v>
      </c>
      <c r="X793">
        <v>0.11816140848398914</v>
      </c>
    </row>
    <row r="794" spans="1:24" x14ac:dyDescent="0.3">
      <c r="A794" t="s">
        <v>5103</v>
      </c>
      <c r="B794" t="s">
        <v>5104</v>
      </c>
      <c r="C794" s="1">
        <v>43223</v>
      </c>
      <c r="D794" s="1">
        <v>43225</v>
      </c>
      <c r="E794" t="s">
        <v>180</v>
      </c>
      <c r="F794" t="s">
        <v>5105</v>
      </c>
      <c r="G794" t="s">
        <v>5106</v>
      </c>
      <c r="H794" t="s">
        <v>29</v>
      </c>
      <c r="I794" t="s">
        <v>30</v>
      </c>
      <c r="J794" t="s">
        <v>574</v>
      </c>
      <c r="K794" t="s">
        <v>476</v>
      </c>
      <c r="L794" t="s">
        <v>575</v>
      </c>
      <c r="M794" t="s">
        <v>147</v>
      </c>
      <c r="N794" t="s">
        <v>1857</v>
      </c>
      <c r="O794" t="s">
        <v>186</v>
      </c>
      <c r="P794" t="s">
        <v>228</v>
      </c>
      <c r="Q794" t="s">
        <v>1858</v>
      </c>
      <c r="R794">
        <v>132.52000000000001</v>
      </c>
      <c r="S794">
        <v>5</v>
      </c>
      <c r="T794">
        <v>0.2</v>
      </c>
      <c r="U794">
        <v>34.786499999999997</v>
      </c>
      <c r="V794">
        <v>97.733500000000021</v>
      </c>
      <c r="W794">
        <v>106.01600000000002</v>
      </c>
      <c r="X794">
        <v>5.1159530764783814E-2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F430E-123C-453B-BB1F-31185E5B0D79}">
  <dimension ref="B3:AP125"/>
  <sheetViews>
    <sheetView topLeftCell="X1" workbookViewId="0">
      <selection activeCell="K16" sqref="K16"/>
    </sheetView>
  </sheetViews>
  <sheetFormatPr defaultRowHeight="14.4" x14ac:dyDescent="0.3"/>
  <cols>
    <col min="2" max="2" width="12.88671875" bestFit="1" customWidth="1"/>
    <col min="5" max="5" width="13.77734375" bestFit="1" customWidth="1"/>
    <col min="6" max="6" width="12.88671875" bestFit="1" customWidth="1"/>
    <col min="7" max="7" width="15.77734375" bestFit="1" customWidth="1"/>
    <col min="8" max="8" width="13.44140625" bestFit="1" customWidth="1"/>
    <col min="10" max="10" width="23.44140625" bestFit="1" customWidth="1"/>
    <col min="11" max="11" width="19.21875" bestFit="1" customWidth="1"/>
    <col min="12" max="12" width="12.88671875" bestFit="1" customWidth="1"/>
    <col min="13" max="13" width="23.44140625" bestFit="1" customWidth="1"/>
    <col min="16" max="16" width="15.5546875" bestFit="1" customWidth="1"/>
    <col min="17" max="17" width="12.88671875" bestFit="1" customWidth="1"/>
    <col min="18" max="18" width="17.6640625" bestFit="1" customWidth="1"/>
    <col min="22" max="22" width="18.44140625" bestFit="1" customWidth="1"/>
    <col min="23" max="23" width="12.88671875" bestFit="1" customWidth="1"/>
    <col min="25" max="25" width="12.6640625" bestFit="1" customWidth="1"/>
    <col min="28" max="28" width="26.5546875" bestFit="1" customWidth="1"/>
    <col min="29" max="29" width="12" bestFit="1" customWidth="1"/>
    <col min="34" max="34" width="16.77734375" bestFit="1" customWidth="1"/>
    <col min="35" max="35" width="12.88671875" bestFit="1" customWidth="1"/>
    <col min="37" max="37" width="18.33203125" bestFit="1" customWidth="1"/>
    <col min="41" max="41" width="24.5546875" bestFit="1" customWidth="1"/>
    <col min="42" max="42" width="14.21875" bestFit="1" customWidth="1"/>
  </cols>
  <sheetData>
    <row r="3" spans="2:41" x14ac:dyDescent="0.3">
      <c r="E3" s="4" t="s">
        <v>5355</v>
      </c>
      <c r="F3" s="5" t="s">
        <v>5351</v>
      </c>
      <c r="G3" s="5" t="s">
        <v>5353</v>
      </c>
      <c r="H3" s="5" t="s">
        <v>5352</v>
      </c>
    </row>
    <row r="4" spans="2:41" x14ac:dyDescent="0.3">
      <c r="E4" s="6" t="s">
        <v>5109</v>
      </c>
      <c r="F4" s="5">
        <v>8970.3889999999992</v>
      </c>
      <c r="G4" s="5">
        <v>8.0500000000000025</v>
      </c>
      <c r="H4" s="5">
        <v>7786.4516999999978</v>
      </c>
      <c r="J4" t="s">
        <v>5365</v>
      </c>
      <c r="K4" t="s">
        <v>5366</v>
      </c>
    </row>
    <row r="5" spans="2:41" x14ac:dyDescent="0.3">
      <c r="E5" s="6" t="s">
        <v>5356</v>
      </c>
      <c r="F5" s="5">
        <v>159481.46479999999</v>
      </c>
      <c r="G5" s="5">
        <v>116.22000000000057</v>
      </c>
      <c r="H5" s="5">
        <v>146030.66649999999</v>
      </c>
      <c r="J5">
        <v>793</v>
      </c>
      <c r="K5">
        <v>18.454899873896593</v>
      </c>
    </row>
    <row r="6" spans="2:41" x14ac:dyDescent="0.3">
      <c r="B6" t="s">
        <v>5351</v>
      </c>
      <c r="E6" s="6" t="s">
        <v>5357</v>
      </c>
      <c r="F6" s="5">
        <v>168451.85380000001</v>
      </c>
      <c r="G6" s="5">
        <v>124.27000000000064</v>
      </c>
      <c r="H6" s="5">
        <v>153817.11819999994</v>
      </c>
    </row>
    <row r="7" spans="2:41" x14ac:dyDescent="0.3">
      <c r="B7" s="10">
        <v>168451.85380000001</v>
      </c>
      <c r="E7" s="6" t="s">
        <v>5367</v>
      </c>
      <c r="F7" s="15">
        <f>GETPIVOTDATA("[Measures].[Sum of Sales]",$E$3,"[Returns].[Returned]","[Returns].[Returned].&amp;[Yes]")</f>
        <v>8970.3889999999992</v>
      </c>
    </row>
    <row r="8" spans="2:41" x14ac:dyDescent="0.3">
      <c r="B8" s="13">
        <f>GETPIVOTDATA("[Measures].[Sum of Sales]",$B$6)</f>
        <v>168451.85380000001</v>
      </c>
      <c r="E8" s="6" t="s">
        <v>5368</v>
      </c>
      <c r="F8" s="15">
        <f>GETPIVOTDATA("[Measures].[Sum of Sales]",$E$3,"[Returns].[Returned]","[Returns].[Returned].&amp;")</f>
        <v>159481.46479999999</v>
      </c>
      <c r="G8" s="14">
        <f>GETPIVOTDATA("[Measures].[Sum of Discount]",$E$3,"[Returns].[Returned]","[Returns].[Returned].&amp;")</f>
        <v>116.22000000000057</v>
      </c>
      <c r="H8" s="16">
        <f>GETPIVOTDATA("[Measures].[Sum of COGS]",$E$3,"[Returns].[Returned]","[Returns].[Returned].&amp;")</f>
        <v>146030.66649999999</v>
      </c>
    </row>
    <row r="10" spans="2:41" x14ac:dyDescent="0.3">
      <c r="B10" s="5" t="s">
        <v>5352</v>
      </c>
    </row>
    <row r="11" spans="2:41" x14ac:dyDescent="0.3">
      <c r="B11" s="5">
        <v>153817.11819999994</v>
      </c>
    </row>
    <row r="14" spans="2:41" x14ac:dyDescent="0.3">
      <c r="B14" t="s">
        <v>5353</v>
      </c>
    </row>
    <row r="15" spans="2:41" x14ac:dyDescent="0.3">
      <c r="B15" s="17">
        <v>124.27000000000064</v>
      </c>
      <c r="F15" t="s">
        <v>5346</v>
      </c>
    </row>
    <row r="16" spans="2:41" x14ac:dyDescent="0.3">
      <c r="K16" t="s">
        <v>5347</v>
      </c>
      <c r="P16" t="s">
        <v>5348</v>
      </c>
      <c r="V16" t="s">
        <v>5361</v>
      </c>
      <c r="AB16" t="s">
        <v>5350</v>
      </c>
      <c r="AH16" t="s">
        <v>5349</v>
      </c>
      <c r="AO16" t="s">
        <v>5364</v>
      </c>
    </row>
    <row r="17" spans="2:42" x14ac:dyDescent="0.3">
      <c r="F17" s="7" t="s">
        <v>5358</v>
      </c>
      <c r="G17" s="8" t="s">
        <v>5351</v>
      </c>
    </row>
    <row r="18" spans="2:42" x14ac:dyDescent="0.3">
      <c r="F18" s="9" t="s">
        <v>1328</v>
      </c>
      <c r="G18" s="8">
        <v>4059.212</v>
      </c>
      <c r="K18" s="7" t="s">
        <v>5359</v>
      </c>
      <c r="L18" s="8" t="s">
        <v>5351</v>
      </c>
      <c r="P18" s="7" t="s">
        <v>5360</v>
      </c>
      <c r="Q18" s="8" t="s">
        <v>5351</v>
      </c>
      <c r="V18" s="7" t="s">
        <v>5362</v>
      </c>
      <c r="W18" s="8" t="s">
        <v>5351</v>
      </c>
      <c r="AB18" s="2" t="s">
        <v>5350</v>
      </c>
      <c r="AC18" t="s">
        <v>5351</v>
      </c>
      <c r="AH18" s="7" t="s">
        <v>5349</v>
      </c>
      <c r="AI18" s="8" t="s">
        <v>5351</v>
      </c>
      <c r="AO18" s="2" t="s">
        <v>5364</v>
      </c>
      <c r="AP18" t="s">
        <v>5363</v>
      </c>
    </row>
    <row r="19" spans="2:42" x14ac:dyDescent="0.3">
      <c r="B19" s="8" t="s">
        <v>5354</v>
      </c>
      <c r="F19" s="9" t="s">
        <v>4140</v>
      </c>
      <c r="G19" s="8">
        <v>4548.8100000000004</v>
      </c>
      <c r="K19" s="9" t="s">
        <v>36</v>
      </c>
      <c r="L19" s="8">
        <v>53148.097800000003</v>
      </c>
      <c r="P19" s="9" t="s">
        <v>202</v>
      </c>
      <c r="Q19" s="8">
        <v>8604.7819999999992</v>
      </c>
      <c r="V19" s="9" t="s">
        <v>4756</v>
      </c>
      <c r="W19" s="8">
        <v>42225.006999999998</v>
      </c>
      <c r="AB19" s="3" t="s">
        <v>36</v>
      </c>
      <c r="AC19" s="17"/>
      <c r="AH19" s="9" t="s">
        <v>34</v>
      </c>
      <c r="AI19" s="8">
        <v>34507.072</v>
      </c>
      <c r="AO19" s="3" t="s">
        <v>4756</v>
      </c>
      <c r="AP19" s="17">
        <v>901</v>
      </c>
    </row>
    <row r="20" spans="2:42" x14ac:dyDescent="0.3">
      <c r="B20" s="8">
        <v>14634.7356</v>
      </c>
      <c r="F20" s="9" t="s">
        <v>286</v>
      </c>
      <c r="G20" s="8">
        <v>5075.652</v>
      </c>
      <c r="K20" s="9" t="s">
        <v>49</v>
      </c>
      <c r="L20" s="8">
        <v>45556.807000000001</v>
      </c>
      <c r="P20" s="9" t="s">
        <v>97</v>
      </c>
      <c r="Q20" s="8">
        <v>13575.3208</v>
      </c>
      <c r="V20" s="9" t="s">
        <v>741</v>
      </c>
      <c r="W20" s="8">
        <v>34507.072</v>
      </c>
      <c r="AB20" s="11" t="s">
        <v>335</v>
      </c>
      <c r="AC20" s="17">
        <v>350.98</v>
      </c>
      <c r="AH20" s="9" t="s">
        <v>99</v>
      </c>
      <c r="AI20" s="8">
        <v>40825.438800000004</v>
      </c>
      <c r="AO20" s="3" t="s">
        <v>2301</v>
      </c>
      <c r="AP20" s="17">
        <v>781</v>
      </c>
    </row>
    <row r="21" spans="2:42" x14ac:dyDescent="0.3">
      <c r="F21" s="9" t="s">
        <v>174</v>
      </c>
      <c r="G21" s="8">
        <v>6445.8540000000003</v>
      </c>
      <c r="K21" s="9" t="s">
        <v>186</v>
      </c>
      <c r="L21" s="8">
        <v>69746.948999999993</v>
      </c>
      <c r="P21" s="9" t="s">
        <v>45</v>
      </c>
      <c r="Q21" s="8">
        <v>25759.093000000001</v>
      </c>
      <c r="V21" s="9" t="s">
        <v>2301</v>
      </c>
      <c r="W21" s="8">
        <v>50894.336000000003</v>
      </c>
      <c r="AB21" s="11" t="s">
        <v>295</v>
      </c>
      <c r="AC21" s="17">
        <v>1274.653</v>
      </c>
      <c r="AH21" s="9" t="s">
        <v>47</v>
      </c>
      <c r="AI21" s="8">
        <v>42225.006999999998</v>
      </c>
      <c r="AO21" s="3" t="s">
        <v>4052</v>
      </c>
      <c r="AP21" s="17">
        <v>715</v>
      </c>
    </row>
    <row r="22" spans="2:42" x14ac:dyDescent="0.3">
      <c r="F22" s="9" t="s">
        <v>85</v>
      </c>
      <c r="G22" s="8">
        <v>6768.7219999999998</v>
      </c>
      <c r="K22" s="9" t="s">
        <v>5357</v>
      </c>
      <c r="L22" s="8">
        <v>168451.85380000001</v>
      </c>
      <c r="P22" s="9" t="s">
        <v>58</v>
      </c>
      <c r="Q22" s="8">
        <v>5844.5339999999997</v>
      </c>
      <c r="V22" s="9" t="s">
        <v>4052</v>
      </c>
      <c r="W22" s="8">
        <v>40825.438800000004</v>
      </c>
      <c r="AB22" s="11" t="s">
        <v>45</v>
      </c>
      <c r="AC22" s="17">
        <v>11869.761</v>
      </c>
      <c r="AH22" s="9" t="s">
        <v>147</v>
      </c>
      <c r="AI22" s="8">
        <v>50894.336000000003</v>
      </c>
      <c r="AO22" s="3" t="s">
        <v>741</v>
      </c>
      <c r="AP22" s="17">
        <v>480</v>
      </c>
    </row>
    <row r="23" spans="2:42" x14ac:dyDescent="0.3">
      <c r="F23" s="9" t="s">
        <v>126</v>
      </c>
      <c r="G23" s="8">
        <v>7340.7370000000001</v>
      </c>
      <c r="P23" s="9" t="s">
        <v>262</v>
      </c>
      <c r="Q23" s="8">
        <v>29377.546999999999</v>
      </c>
      <c r="V23" s="9" t="s">
        <v>5357</v>
      </c>
      <c r="W23" s="8">
        <v>168451.85380000001</v>
      </c>
      <c r="AB23" s="11" t="s">
        <v>435</v>
      </c>
      <c r="AC23" s="17">
        <v>1480.0260000000001</v>
      </c>
      <c r="AH23" s="9" t="s">
        <v>5357</v>
      </c>
      <c r="AI23" s="8">
        <v>168451.85380000001</v>
      </c>
      <c r="AO23" s="3" t="s">
        <v>5357</v>
      </c>
      <c r="AP23" s="17">
        <v>2877</v>
      </c>
    </row>
    <row r="24" spans="2:42" x14ac:dyDescent="0.3">
      <c r="F24" s="9" t="s">
        <v>144</v>
      </c>
      <c r="G24" s="8">
        <v>7370.4040000000005</v>
      </c>
      <c r="P24" s="9" t="s">
        <v>76</v>
      </c>
      <c r="Q24" s="8">
        <v>12997.81</v>
      </c>
      <c r="AB24" s="11" t="s">
        <v>706</v>
      </c>
      <c r="AC24" s="17">
        <v>22.2</v>
      </c>
    </row>
    <row r="25" spans="2:42" x14ac:dyDescent="0.3">
      <c r="F25" s="9" t="s">
        <v>1935</v>
      </c>
      <c r="G25" s="8">
        <v>8040.78</v>
      </c>
      <c r="P25" s="9" t="s">
        <v>476</v>
      </c>
      <c r="Q25" s="8">
        <v>6168.3869999999997</v>
      </c>
      <c r="AB25" s="11" t="s">
        <v>244</v>
      </c>
      <c r="AC25" s="17">
        <v>133.12</v>
      </c>
    </row>
    <row r="26" spans="2:42" x14ac:dyDescent="0.3">
      <c r="F26" s="9" t="s">
        <v>44</v>
      </c>
      <c r="G26" s="8">
        <v>10243.800999999999</v>
      </c>
      <c r="P26" s="9" t="s">
        <v>145</v>
      </c>
      <c r="Q26" s="8">
        <v>7788.8919999999998</v>
      </c>
      <c r="AB26" s="11" t="s">
        <v>58</v>
      </c>
      <c r="AC26" s="17">
        <v>3507.107</v>
      </c>
    </row>
    <row r="27" spans="2:42" x14ac:dyDescent="0.3">
      <c r="F27" s="9" t="s">
        <v>261</v>
      </c>
      <c r="G27" s="8">
        <v>21350.361000000001</v>
      </c>
      <c r="P27" s="9" t="s">
        <v>225</v>
      </c>
      <c r="Q27" s="8">
        <v>4526.28</v>
      </c>
      <c r="AB27" s="11" t="s">
        <v>1136</v>
      </c>
      <c r="AC27" s="17">
        <v>1005.73</v>
      </c>
    </row>
    <row r="28" spans="2:42" x14ac:dyDescent="0.3">
      <c r="F28" s="9" t="s">
        <v>5357</v>
      </c>
      <c r="G28" s="8">
        <v>81244.332999999999</v>
      </c>
      <c r="P28" s="9" t="s">
        <v>86</v>
      </c>
      <c r="Q28" s="8">
        <v>7519.3739999999998</v>
      </c>
      <c r="AB28" s="11" t="s">
        <v>202</v>
      </c>
      <c r="AC28" s="17">
        <v>2769.2869999999998</v>
      </c>
    </row>
    <row r="29" spans="2:42" x14ac:dyDescent="0.3">
      <c r="P29" s="9" t="s">
        <v>5357</v>
      </c>
      <c r="Q29" s="8">
        <v>122162.01979999999</v>
      </c>
      <c r="AB29" s="11" t="s">
        <v>253</v>
      </c>
      <c r="AC29" s="17">
        <v>1177.2</v>
      </c>
    </row>
    <row r="30" spans="2:42" x14ac:dyDescent="0.3">
      <c r="AB30" s="11" t="s">
        <v>32</v>
      </c>
      <c r="AC30" s="17">
        <v>494.69</v>
      </c>
    </row>
    <row r="31" spans="2:42" x14ac:dyDescent="0.3">
      <c r="AB31" s="11" t="s">
        <v>697</v>
      </c>
      <c r="AC31" s="17">
        <v>569.46</v>
      </c>
    </row>
    <row r="32" spans="2:42" x14ac:dyDescent="0.3">
      <c r="AB32" s="11" t="s">
        <v>1118</v>
      </c>
      <c r="AC32" s="17">
        <v>1630.2840000000001</v>
      </c>
    </row>
    <row r="33" spans="28:29" x14ac:dyDescent="0.3">
      <c r="AB33" s="11" t="s">
        <v>235</v>
      </c>
      <c r="AC33" s="17">
        <v>738.66</v>
      </c>
    </row>
    <row r="34" spans="28:29" x14ac:dyDescent="0.3">
      <c r="AB34" s="11" t="s">
        <v>225</v>
      </c>
      <c r="AC34" s="17">
        <v>2020.7</v>
      </c>
    </row>
    <row r="35" spans="28:29" x14ac:dyDescent="0.3">
      <c r="AB35" s="11" t="s">
        <v>1329</v>
      </c>
      <c r="AC35" s="17">
        <v>866.4</v>
      </c>
    </row>
    <row r="36" spans="28:29" x14ac:dyDescent="0.3">
      <c r="AB36" s="11" t="s">
        <v>560</v>
      </c>
      <c r="AC36" s="17">
        <v>823.46</v>
      </c>
    </row>
    <row r="37" spans="28:29" x14ac:dyDescent="0.3">
      <c r="AB37" s="11" t="s">
        <v>751</v>
      </c>
      <c r="AC37" s="17">
        <v>378.94600000000003</v>
      </c>
    </row>
    <row r="38" spans="28:29" x14ac:dyDescent="0.3">
      <c r="AB38" s="11" t="s">
        <v>642</v>
      </c>
      <c r="AC38" s="17">
        <v>41.37</v>
      </c>
    </row>
    <row r="39" spans="28:29" x14ac:dyDescent="0.3">
      <c r="AB39" s="11" t="s">
        <v>262</v>
      </c>
      <c r="AC39" s="17">
        <v>4955.3670000000002</v>
      </c>
    </row>
    <row r="40" spans="28:29" x14ac:dyDescent="0.3">
      <c r="AB40" s="11" t="s">
        <v>76</v>
      </c>
      <c r="AC40" s="17">
        <v>388.31200000000001</v>
      </c>
    </row>
    <row r="41" spans="28:29" x14ac:dyDescent="0.3">
      <c r="AB41" s="11" t="s">
        <v>476</v>
      </c>
      <c r="AC41" s="17">
        <v>1620.5060000000001</v>
      </c>
    </row>
    <row r="42" spans="28:29" x14ac:dyDescent="0.3">
      <c r="AB42" s="11" t="s">
        <v>145</v>
      </c>
      <c r="AC42" s="17">
        <v>4000.1979999999999</v>
      </c>
    </row>
    <row r="43" spans="28:29" x14ac:dyDescent="0.3">
      <c r="AB43" s="11" t="s">
        <v>320</v>
      </c>
      <c r="AC43" s="17">
        <v>2176.4899999999998</v>
      </c>
    </row>
    <row r="44" spans="28:29" x14ac:dyDescent="0.3">
      <c r="AB44" s="11" t="s">
        <v>97</v>
      </c>
      <c r="AC44" s="17">
        <v>1496.5268000000001</v>
      </c>
    </row>
    <row r="45" spans="28:29" x14ac:dyDescent="0.3">
      <c r="AB45" s="11" t="s">
        <v>118</v>
      </c>
      <c r="AC45" s="17">
        <v>1044.6300000000001</v>
      </c>
    </row>
    <row r="46" spans="28:29" x14ac:dyDescent="0.3">
      <c r="AB46" s="11" t="s">
        <v>304</v>
      </c>
      <c r="AC46" s="17">
        <v>587.04</v>
      </c>
    </row>
    <row r="47" spans="28:29" x14ac:dyDescent="0.3">
      <c r="AB47" s="11" t="s">
        <v>86</v>
      </c>
      <c r="AC47" s="17">
        <v>5212.0540000000001</v>
      </c>
    </row>
    <row r="48" spans="28:29" x14ac:dyDescent="0.3">
      <c r="AB48" s="11" t="s">
        <v>108</v>
      </c>
      <c r="AC48" s="17">
        <v>512.94000000000005</v>
      </c>
    </row>
    <row r="49" spans="28:29" x14ac:dyDescent="0.3">
      <c r="AB49" s="3" t="s">
        <v>49</v>
      </c>
      <c r="AC49" s="17"/>
    </row>
    <row r="50" spans="28:29" x14ac:dyDescent="0.3">
      <c r="AB50" s="11" t="s">
        <v>335</v>
      </c>
      <c r="AC50" s="17">
        <v>326.64999999999998</v>
      </c>
    </row>
    <row r="51" spans="28:29" x14ac:dyDescent="0.3">
      <c r="AB51" s="11" t="s">
        <v>295</v>
      </c>
      <c r="AC51" s="17">
        <v>1615.239</v>
      </c>
    </row>
    <row r="52" spans="28:29" x14ac:dyDescent="0.3">
      <c r="AB52" s="11" t="s">
        <v>1497</v>
      </c>
      <c r="AC52" s="17">
        <v>111.66</v>
      </c>
    </row>
    <row r="53" spans="28:29" x14ac:dyDescent="0.3">
      <c r="AB53" s="11" t="s">
        <v>45</v>
      </c>
      <c r="AC53" s="17">
        <v>8367.268</v>
      </c>
    </row>
    <row r="54" spans="28:29" x14ac:dyDescent="0.3">
      <c r="AB54" s="11" t="s">
        <v>435</v>
      </c>
      <c r="AC54" s="17">
        <v>1360.34</v>
      </c>
    </row>
    <row r="55" spans="28:29" x14ac:dyDescent="0.3">
      <c r="AB55" s="11" t="s">
        <v>706</v>
      </c>
      <c r="AC55" s="17">
        <v>604.62</v>
      </c>
    </row>
    <row r="56" spans="28:29" x14ac:dyDescent="0.3">
      <c r="AB56" s="11" t="s">
        <v>244</v>
      </c>
      <c r="AC56" s="17">
        <v>26.55</v>
      </c>
    </row>
    <row r="57" spans="28:29" x14ac:dyDescent="0.3">
      <c r="AB57" s="11" t="s">
        <v>3451</v>
      </c>
      <c r="AC57" s="17">
        <v>19.440000000000001</v>
      </c>
    </row>
    <row r="58" spans="28:29" x14ac:dyDescent="0.3">
      <c r="AB58" s="11" t="s">
        <v>58</v>
      </c>
      <c r="AC58" s="17">
        <v>668.36300000000006</v>
      </c>
    </row>
    <row r="59" spans="28:29" x14ac:dyDescent="0.3">
      <c r="AB59" s="11" t="s">
        <v>1136</v>
      </c>
      <c r="AC59" s="17">
        <v>1179.72</v>
      </c>
    </row>
    <row r="60" spans="28:29" x14ac:dyDescent="0.3">
      <c r="AB60" s="11" t="s">
        <v>202</v>
      </c>
      <c r="AC60" s="17">
        <v>1264.22</v>
      </c>
    </row>
    <row r="61" spans="28:29" x14ac:dyDescent="0.3">
      <c r="AB61" s="11" t="s">
        <v>253</v>
      </c>
      <c r="AC61" s="17">
        <v>1608.09</v>
      </c>
    </row>
    <row r="62" spans="28:29" x14ac:dyDescent="0.3">
      <c r="AB62" s="11" t="s">
        <v>467</v>
      </c>
      <c r="AC62" s="17">
        <v>101.52</v>
      </c>
    </row>
    <row r="63" spans="28:29" x14ac:dyDescent="0.3">
      <c r="AB63" s="11" t="s">
        <v>3598</v>
      </c>
      <c r="AC63" s="17">
        <v>107.94</v>
      </c>
    </row>
    <row r="64" spans="28:29" x14ac:dyDescent="0.3">
      <c r="AB64" s="11" t="s">
        <v>32</v>
      </c>
      <c r="AC64" s="17">
        <v>454.06</v>
      </c>
    </row>
    <row r="65" spans="28:29" x14ac:dyDescent="0.3">
      <c r="AB65" s="11" t="s">
        <v>697</v>
      </c>
      <c r="AC65" s="17">
        <v>24.32</v>
      </c>
    </row>
    <row r="66" spans="28:29" x14ac:dyDescent="0.3">
      <c r="AB66" s="11" t="s">
        <v>2361</v>
      </c>
      <c r="AC66" s="17">
        <v>106.46</v>
      </c>
    </row>
    <row r="67" spans="28:29" x14ac:dyDescent="0.3">
      <c r="AB67" s="11" t="s">
        <v>1118</v>
      </c>
      <c r="AC67" s="17">
        <v>371.94</v>
      </c>
    </row>
    <row r="68" spans="28:29" x14ac:dyDescent="0.3">
      <c r="AB68" s="11" t="s">
        <v>235</v>
      </c>
      <c r="AC68" s="17">
        <v>1170.5260000000001</v>
      </c>
    </row>
    <row r="69" spans="28:29" x14ac:dyDescent="0.3">
      <c r="AB69" s="11" t="s">
        <v>225</v>
      </c>
      <c r="AC69" s="17">
        <v>2324.66</v>
      </c>
    </row>
    <row r="70" spans="28:29" x14ac:dyDescent="0.3">
      <c r="AB70" s="11" t="s">
        <v>1329</v>
      </c>
      <c r="AC70" s="17">
        <v>222.49</v>
      </c>
    </row>
    <row r="71" spans="28:29" x14ac:dyDescent="0.3">
      <c r="AB71" s="11" t="s">
        <v>560</v>
      </c>
      <c r="AC71" s="17">
        <v>874.11</v>
      </c>
    </row>
    <row r="72" spans="28:29" x14ac:dyDescent="0.3">
      <c r="AB72" s="11" t="s">
        <v>136</v>
      </c>
      <c r="AC72" s="17">
        <v>19.46</v>
      </c>
    </row>
    <row r="73" spans="28:29" x14ac:dyDescent="0.3">
      <c r="AB73" s="11" t="s">
        <v>1257</v>
      </c>
      <c r="AC73" s="17">
        <v>75.792000000000002</v>
      </c>
    </row>
    <row r="74" spans="28:29" x14ac:dyDescent="0.3">
      <c r="AB74" s="11" t="s">
        <v>3852</v>
      </c>
      <c r="AC74" s="17">
        <v>101.9</v>
      </c>
    </row>
    <row r="75" spans="28:29" x14ac:dyDescent="0.3">
      <c r="AB75" s="11" t="s">
        <v>751</v>
      </c>
      <c r="AC75" s="17">
        <v>302.73</v>
      </c>
    </row>
    <row r="76" spans="28:29" x14ac:dyDescent="0.3">
      <c r="AB76" s="11" t="s">
        <v>642</v>
      </c>
      <c r="AC76" s="17">
        <v>119.2</v>
      </c>
    </row>
    <row r="77" spans="28:29" x14ac:dyDescent="0.3">
      <c r="AB77" s="11" t="s">
        <v>262</v>
      </c>
      <c r="AC77" s="17">
        <v>6188.4620000000004</v>
      </c>
    </row>
    <row r="78" spans="28:29" x14ac:dyDescent="0.3">
      <c r="AB78" s="11" t="s">
        <v>76</v>
      </c>
      <c r="AC78" s="17">
        <v>1040.6420000000001</v>
      </c>
    </row>
    <row r="79" spans="28:29" x14ac:dyDescent="0.3">
      <c r="AB79" s="11" t="s">
        <v>476</v>
      </c>
      <c r="AC79" s="17">
        <v>1358.595</v>
      </c>
    </row>
    <row r="80" spans="28:29" x14ac:dyDescent="0.3">
      <c r="AB80" s="11" t="s">
        <v>619</v>
      </c>
      <c r="AC80" s="17">
        <v>340.48</v>
      </c>
    </row>
    <row r="81" spans="28:29" x14ac:dyDescent="0.3">
      <c r="AB81" s="11" t="s">
        <v>394</v>
      </c>
      <c r="AC81" s="17">
        <v>21.234000000000002</v>
      </c>
    </row>
    <row r="82" spans="28:29" x14ac:dyDescent="0.3">
      <c r="AB82" s="11" t="s">
        <v>145</v>
      </c>
      <c r="AC82" s="17">
        <v>2389.386</v>
      </c>
    </row>
    <row r="83" spans="28:29" x14ac:dyDescent="0.3">
      <c r="AB83" s="11" t="s">
        <v>1266</v>
      </c>
      <c r="AC83" s="17">
        <v>2409.0100000000002</v>
      </c>
    </row>
    <row r="84" spans="28:29" x14ac:dyDescent="0.3">
      <c r="AB84" s="11" t="s">
        <v>4033</v>
      </c>
      <c r="AC84" s="17">
        <v>14.62</v>
      </c>
    </row>
    <row r="85" spans="28:29" x14ac:dyDescent="0.3">
      <c r="AB85" s="11" t="s">
        <v>320</v>
      </c>
      <c r="AC85" s="17">
        <v>294.53800000000001</v>
      </c>
    </row>
    <row r="86" spans="28:29" x14ac:dyDescent="0.3">
      <c r="AB86" s="11" t="s">
        <v>97</v>
      </c>
      <c r="AC86" s="17">
        <v>2017.2360000000001</v>
      </c>
    </row>
    <row r="87" spans="28:29" x14ac:dyDescent="0.3">
      <c r="AB87" s="11" t="s">
        <v>118</v>
      </c>
      <c r="AC87" s="17">
        <v>209.38800000000001</v>
      </c>
    </row>
    <row r="88" spans="28:29" x14ac:dyDescent="0.3">
      <c r="AB88" s="11" t="s">
        <v>304</v>
      </c>
      <c r="AC88" s="17">
        <v>3123.08</v>
      </c>
    </row>
    <row r="89" spans="28:29" x14ac:dyDescent="0.3">
      <c r="AB89" s="11" t="s">
        <v>86</v>
      </c>
      <c r="AC89" s="17">
        <v>1602.838</v>
      </c>
    </row>
    <row r="90" spans="28:29" x14ac:dyDescent="0.3">
      <c r="AB90" s="11" t="s">
        <v>108</v>
      </c>
      <c r="AC90" s="17">
        <v>1018.03</v>
      </c>
    </row>
    <row r="91" spans="28:29" x14ac:dyDescent="0.3">
      <c r="AB91" s="3" t="s">
        <v>186</v>
      </c>
      <c r="AC91" s="17"/>
    </row>
    <row r="92" spans="28:29" x14ac:dyDescent="0.3">
      <c r="AB92" s="11" t="s">
        <v>335</v>
      </c>
      <c r="AC92" s="17">
        <v>1144.93</v>
      </c>
    </row>
    <row r="93" spans="28:29" x14ac:dyDescent="0.3">
      <c r="AB93" s="11" t="s">
        <v>295</v>
      </c>
      <c r="AC93" s="17">
        <v>71.191999999999993</v>
      </c>
    </row>
    <row r="94" spans="28:29" x14ac:dyDescent="0.3">
      <c r="AB94" s="11" t="s">
        <v>45</v>
      </c>
      <c r="AC94" s="17">
        <v>5522.0640000000003</v>
      </c>
    </row>
    <row r="95" spans="28:29" x14ac:dyDescent="0.3">
      <c r="AB95" s="11" t="s">
        <v>435</v>
      </c>
      <c r="AC95" s="17">
        <v>878.33600000000001</v>
      </c>
    </row>
    <row r="96" spans="28:29" x14ac:dyDescent="0.3">
      <c r="AB96" s="11" t="s">
        <v>706</v>
      </c>
      <c r="AC96" s="17">
        <v>832.93</v>
      </c>
    </row>
    <row r="97" spans="28:29" x14ac:dyDescent="0.3">
      <c r="AB97" s="11" t="s">
        <v>244</v>
      </c>
      <c r="AC97" s="17">
        <v>174.98</v>
      </c>
    </row>
    <row r="98" spans="28:29" x14ac:dyDescent="0.3">
      <c r="AB98" s="11" t="s">
        <v>58</v>
      </c>
      <c r="AC98" s="17">
        <v>1669.0640000000001</v>
      </c>
    </row>
    <row r="99" spans="28:29" x14ac:dyDescent="0.3">
      <c r="AB99" s="11" t="s">
        <v>1136</v>
      </c>
      <c r="AC99" s="17">
        <v>221.93</v>
      </c>
    </row>
    <row r="100" spans="28:29" x14ac:dyDescent="0.3">
      <c r="AB100" s="11" t="s">
        <v>202</v>
      </c>
      <c r="AC100" s="17">
        <v>4571.2749999999996</v>
      </c>
    </row>
    <row r="101" spans="28:29" x14ac:dyDescent="0.3">
      <c r="AB101" s="11" t="s">
        <v>253</v>
      </c>
      <c r="AC101" s="17">
        <v>69.900000000000006</v>
      </c>
    </row>
    <row r="102" spans="28:29" x14ac:dyDescent="0.3">
      <c r="AB102" s="11" t="s">
        <v>32</v>
      </c>
      <c r="AC102" s="17">
        <v>191.71</v>
      </c>
    </row>
    <row r="103" spans="28:29" x14ac:dyDescent="0.3">
      <c r="AB103" s="11" t="s">
        <v>697</v>
      </c>
      <c r="AC103" s="17">
        <v>1163.8599999999999</v>
      </c>
    </row>
    <row r="104" spans="28:29" x14ac:dyDescent="0.3">
      <c r="AB104" s="11" t="s">
        <v>2361</v>
      </c>
      <c r="AC104" s="17">
        <v>49.08</v>
      </c>
    </row>
    <row r="105" spans="28:29" x14ac:dyDescent="0.3">
      <c r="AB105" s="11" t="s">
        <v>1118</v>
      </c>
      <c r="AC105" s="17">
        <v>39.99</v>
      </c>
    </row>
    <row r="106" spans="28:29" x14ac:dyDescent="0.3">
      <c r="AB106" s="11" t="s">
        <v>235</v>
      </c>
      <c r="AC106" s="17">
        <v>1892.12</v>
      </c>
    </row>
    <row r="107" spans="28:29" x14ac:dyDescent="0.3">
      <c r="AB107" s="11" t="s">
        <v>225</v>
      </c>
      <c r="AC107" s="17">
        <v>180.92</v>
      </c>
    </row>
    <row r="108" spans="28:29" x14ac:dyDescent="0.3">
      <c r="AB108" s="11" t="s">
        <v>1329</v>
      </c>
      <c r="AC108" s="17">
        <v>1079.94</v>
      </c>
    </row>
    <row r="109" spans="28:29" x14ac:dyDescent="0.3">
      <c r="AB109" s="11" t="s">
        <v>560</v>
      </c>
      <c r="AC109" s="17">
        <v>111.79</v>
      </c>
    </row>
    <row r="110" spans="28:29" x14ac:dyDescent="0.3">
      <c r="AB110" s="11" t="s">
        <v>136</v>
      </c>
      <c r="AC110" s="17">
        <v>2479.96</v>
      </c>
    </row>
    <row r="111" spans="28:29" x14ac:dyDescent="0.3">
      <c r="AB111" s="11" t="s">
        <v>1257</v>
      </c>
      <c r="AC111" s="17">
        <v>58.58</v>
      </c>
    </row>
    <row r="112" spans="28:29" x14ac:dyDescent="0.3">
      <c r="AB112" s="11" t="s">
        <v>751</v>
      </c>
      <c r="AC112" s="17">
        <v>355.33</v>
      </c>
    </row>
    <row r="113" spans="28:29" x14ac:dyDescent="0.3">
      <c r="AB113" s="11" t="s">
        <v>642</v>
      </c>
      <c r="AC113" s="17">
        <v>595</v>
      </c>
    </row>
    <row r="114" spans="28:29" x14ac:dyDescent="0.3">
      <c r="AB114" s="11" t="s">
        <v>262</v>
      </c>
      <c r="AC114" s="17">
        <v>18233.718000000001</v>
      </c>
    </row>
    <row r="115" spans="28:29" x14ac:dyDescent="0.3">
      <c r="AB115" s="11" t="s">
        <v>76</v>
      </c>
      <c r="AC115" s="17">
        <v>11568.856</v>
      </c>
    </row>
    <row r="116" spans="28:29" x14ac:dyDescent="0.3">
      <c r="AB116" s="11" t="s">
        <v>476</v>
      </c>
      <c r="AC116" s="17">
        <v>3189.2860000000001</v>
      </c>
    </row>
    <row r="117" spans="28:29" x14ac:dyDescent="0.3">
      <c r="AB117" s="11" t="s">
        <v>619</v>
      </c>
      <c r="AC117" s="17">
        <v>69.930000000000007</v>
      </c>
    </row>
    <row r="118" spans="28:29" x14ac:dyDescent="0.3">
      <c r="AB118" s="11" t="s">
        <v>394</v>
      </c>
      <c r="AC118" s="17">
        <v>84.784000000000006</v>
      </c>
    </row>
    <row r="119" spans="28:29" x14ac:dyDescent="0.3">
      <c r="AB119" s="11" t="s">
        <v>145</v>
      </c>
      <c r="AC119" s="17">
        <v>1399.308</v>
      </c>
    </row>
    <row r="120" spans="28:29" x14ac:dyDescent="0.3">
      <c r="AB120" s="11" t="s">
        <v>97</v>
      </c>
      <c r="AC120" s="17">
        <v>10061.558000000001</v>
      </c>
    </row>
    <row r="121" spans="28:29" x14ac:dyDescent="0.3">
      <c r="AB121" s="11" t="s">
        <v>118</v>
      </c>
      <c r="AC121" s="17">
        <v>16.776</v>
      </c>
    </row>
    <row r="122" spans="28:29" x14ac:dyDescent="0.3">
      <c r="AB122" s="11" t="s">
        <v>304</v>
      </c>
      <c r="AC122" s="17">
        <v>75.05</v>
      </c>
    </row>
    <row r="123" spans="28:29" x14ac:dyDescent="0.3">
      <c r="AB123" s="11" t="s">
        <v>86</v>
      </c>
      <c r="AC123" s="17">
        <v>704.48199999999997</v>
      </c>
    </row>
    <row r="124" spans="28:29" x14ac:dyDescent="0.3">
      <c r="AB124" s="11" t="s">
        <v>108</v>
      </c>
      <c r="AC124" s="17">
        <v>988.32</v>
      </c>
    </row>
    <row r="125" spans="28:29" x14ac:dyDescent="0.3">
      <c r="AB125" s="3" t="s">
        <v>5357</v>
      </c>
      <c r="AC125" s="17">
        <v>168451.85380000001</v>
      </c>
    </row>
  </sheetData>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AA2A0-FD82-4A88-ABC9-C81227B09EA8}">
  <dimension ref="A1"/>
  <sheetViews>
    <sheetView showFormulas="1" showGridLines="0" showRowColHeaders="0" tabSelected="1" zoomScaleNormal="100" workbookViewId="0">
      <selection activeCell="G48" sqref="G48"/>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8B9876B9-BF19-4A18-AFA9-0EC6BF205096}">
  <ds:schemaRefs/>
</ds:datastoreItem>
</file>

<file path=customXml/itemProps2.xml><?xml version="1.0" encoding="utf-8"?>
<ds:datastoreItem xmlns:ds="http://schemas.openxmlformats.org/officeDocument/2006/customXml" ds:itemID="{090532B8-00FC-459F-9A22-F3BF5889F345}">
  <ds:schemaRefs/>
</ds:datastoreItem>
</file>

<file path=customXml/itemProps3.xml><?xml version="1.0" encoding="utf-8"?>
<ds:datastoreItem xmlns:ds="http://schemas.openxmlformats.org/officeDocument/2006/customXml" ds:itemID="{C6D68896-DA7E-4CB0-BA07-232F80F6FB6A}">
  <ds:schemaRefs>
    <ds:schemaRef ds:uri="http://schemas.microsoft.com/DataMashup"/>
  </ds:schemaRefs>
</ds:datastoreItem>
</file>

<file path=customXml/itemProps4.xml><?xml version="1.0" encoding="utf-8"?>
<ds:datastoreItem xmlns:ds="http://schemas.openxmlformats.org/officeDocument/2006/customXml" ds:itemID="{5D50FFF0-81D0-427C-8493-9AA0127DD913}">
  <ds:schemaRefs/>
</ds:datastoreItem>
</file>

<file path=customXml/itemProps5.xml><?xml version="1.0" encoding="utf-8"?>
<ds:datastoreItem xmlns:ds="http://schemas.openxmlformats.org/officeDocument/2006/customXml" ds:itemID="{3EC94530-4851-472C-85A8-E99B3F6A2F9D}">
  <ds:schemaRefs/>
</ds:datastoreItem>
</file>

<file path=customXml/itemProps6.xml><?xml version="1.0" encoding="utf-8"?>
<ds:datastoreItem xmlns:ds="http://schemas.openxmlformats.org/officeDocument/2006/customXml" ds:itemID="{CE444352-A8C1-4141-B73D-72B6ECAF6AAD}">
  <ds:schemaRefs/>
</ds:datastoreItem>
</file>

<file path=customXml/itemProps7.xml><?xml version="1.0" encoding="utf-8"?>
<ds:datastoreItem xmlns:ds="http://schemas.openxmlformats.org/officeDocument/2006/customXml" ds:itemID="{4351E5DF-C62A-449E-8543-4F856A0727A1}">
  <ds:schemaRefs/>
</ds:datastoreItem>
</file>

<file path=customXml/itemProps8.xml><?xml version="1.0" encoding="utf-8"?>
<ds:datastoreItem xmlns:ds="http://schemas.openxmlformats.org/officeDocument/2006/customXml" ds:itemID="{C05E868A-5D80-4228-A0A1-603E7E9F37F0}">
  <ds:schemaRefs/>
</ds:datastoreItem>
</file>

<file path=customXml/itemProps9.xml><?xml version="1.0" encoding="utf-8"?>
<ds:datastoreItem xmlns:ds="http://schemas.openxmlformats.org/officeDocument/2006/customXml" ds:itemID="{BB25347F-0C69-43D5-8522-09AE354D1800}">
  <ds:schemaRefs/>
</ds:datastoreItem>
</file>

<file path=customXml/itemProps10.xml><?xml version="1.0" encoding="utf-8"?>
<ds:datastoreItem xmlns:ds="http://schemas.openxmlformats.org/officeDocument/2006/customXml" ds:itemID="{CAB728B8-4404-482A-83FC-D92B7AC687C7}">
  <ds:schemaRefs/>
</ds:datastoreItem>
</file>

<file path=customXml/itemProps11.xml><?xml version="1.0" encoding="utf-8"?>
<ds:datastoreItem xmlns:ds="http://schemas.openxmlformats.org/officeDocument/2006/customXml" ds:itemID="{6C0F00DD-6F33-4780-9343-A75DD39818FD}">
  <ds:schemaRefs/>
</ds:datastoreItem>
</file>

<file path=customXml/itemProps12.xml><?xml version="1.0" encoding="utf-8"?>
<ds:datastoreItem xmlns:ds="http://schemas.openxmlformats.org/officeDocument/2006/customXml" ds:itemID="{1BB4CD5F-1E14-43F9-96A6-6D5583FD9A54}">
  <ds:schemaRefs/>
</ds:datastoreItem>
</file>

<file path=customXml/itemProps13.xml><?xml version="1.0" encoding="utf-8"?>
<ds:datastoreItem xmlns:ds="http://schemas.openxmlformats.org/officeDocument/2006/customXml" ds:itemID="{DB011A31-5CD5-4A3C-9643-97A9B2C4DA38}">
  <ds:schemaRefs/>
</ds:datastoreItem>
</file>

<file path=customXml/itemProps14.xml><?xml version="1.0" encoding="utf-8"?>
<ds:datastoreItem xmlns:ds="http://schemas.openxmlformats.org/officeDocument/2006/customXml" ds:itemID="{EBCBD4CF-535A-4F41-975C-7E4D02FE0F3C}">
  <ds:schemaRefs/>
</ds:datastoreItem>
</file>

<file path=customXml/itemProps15.xml><?xml version="1.0" encoding="utf-8"?>
<ds:datastoreItem xmlns:ds="http://schemas.openxmlformats.org/officeDocument/2006/customXml" ds:itemID="{1E09B9BC-B669-4E51-B2C1-EBB2E6837108}">
  <ds:schemaRefs/>
</ds:datastoreItem>
</file>

<file path=customXml/itemProps16.xml><?xml version="1.0" encoding="utf-8"?>
<ds:datastoreItem xmlns:ds="http://schemas.openxmlformats.org/officeDocument/2006/customXml" ds:itemID="{D7FB271A-0568-4295-BDF1-CA198271AD8C}">
  <ds:schemaRefs/>
</ds:datastoreItem>
</file>

<file path=customXml/itemProps17.xml><?xml version="1.0" encoding="utf-8"?>
<ds:datastoreItem xmlns:ds="http://schemas.openxmlformats.org/officeDocument/2006/customXml" ds:itemID="{7D855E7D-029E-431F-A695-DBBC5DA30BC7}">
  <ds:schemaRefs/>
</ds:datastoreItem>
</file>

<file path=customXml/itemProps18.xml><?xml version="1.0" encoding="utf-8"?>
<ds:datastoreItem xmlns:ds="http://schemas.openxmlformats.org/officeDocument/2006/customXml" ds:itemID="{FB369CFA-6A23-418E-89C0-DACC6EC9C3FE}">
  <ds:schemaRefs/>
</ds:datastoreItem>
</file>

<file path=customXml/itemProps19.xml><?xml version="1.0" encoding="utf-8"?>
<ds:datastoreItem xmlns:ds="http://schemas.openxmlformats.org/officeDocument/2006/customXml" ds:itemID="{DB1DDD95-1C1B-43AD-9B3F-542121B2DEF3}">
  <ds:schemaRefs/>
</ds:datastoreItem>
</file>

<file path=customXml/itemProps20.xml><?xml version="1.0" encoding="utf-8"?>
<ds:datastoreItem xmlns:ds="http://schemas.openxmlformats.org/officeDocument/2006/customXml" ds:itemID="{29300886-7A8B-4483-8B89-8F2E7E49FF1D}">
  <ds:schemaRefs/>
</ds:datastoreItem>
</file>

<file path=customXml/itemProps21.xml><?xml version="1.0" encoding="utf-8"?>
<ds:datastoreItem xmlns:ds="http://schemas.openxmlformats.org/officeDocument/2006/customXml" ds:itemID="{375AE9C6-F95E-4CA7-8CF6-D4DBAEF48856}">
  <ds:schemaRefs/>
</ds:datastoreItem>
</file>

<file path=customXml/itemProps22.xml><?xml version="1.0" encoding="utf-8"?>
<ds:datastoreItem xmlns:ds="http://schemas.openxmlformats.org/officeDocument/2006/customXml" ds:itemID="{87274B7E-5FB0-4015-9E13-9469FD64A774}">
  <ds:schemaRefs/>
</ds:datastoreItem>
</file>

<file path=customXml/itemProps23.xml><?xml version="1.0" encoding="utf-8"?>
<ds:datastoreItem xmlns:ds="http://schemas.openxmlformats.org/officeDocument/2006/customXml" ds:itemID="{C6B7FD70-48D1-4CDF-ABBA-87F9174D95BE}">
  <ds:schemaRefs/>
</ds:datastoreItem>
</file>

<file path=customXml/itemProps24.xml><?xml version="1.0" encoding="utf-8"?>
<ds:datastoreItem xmlns:ds="http://schemas.openxmlformats.org/officeDocument/2006/customXml" ds:itemID="{3C004F71-D2AA-44D7-A4E9-904FCB99F861}">
  <ds:schemaRefs/>
</ds:datastoreItem>
</file>

<file path=customXml/itemProps25.xml><?xml version="1.0" encoding="utf-8"?>
<ds:datastoreItem xmlns:ds="http://schemas.openxmlformats.org/officeDocument/2006/customXml" ds:itemID="{E34364E9-FFB7-4C6F-B5B7-806E1E483A68}">
  <ds:schemaRefs/>
</ds:datastoreItem>
</file>

<file path=customXml/itemProps26.xml><?xml version="1.0" encoding="utf-8"?>
<ds:datastoreItem xmlns:ds="http://schemas.openxmlformats.org/officeDocument/2006/customXml" ds:itemID="{1E0CA19B-0A22-431E-B903-3AFBDAF77B73}">
  <ds:schemaRefs/>
</ds:datastoreItem>
</file>

<file path=customXml/itemProps27.xml><?xml version="1.0" encoding="utf-8"?>
<ds:datastoreItem xmlns:ds="http://schemas.openxmlformats.org/officeDocument/2006/customXml" ds:itemID="{4FD4C489-FD53-45CA-8326-5DAD738BA062}">
  <ds:schemaRefs/>
</ds:datastoreItem>
</file>

<file path=customXml/itemProps28.xml><?xml version="1.0" encoding="utf-8"?>
<ds:datastoreItem xmlns:ds="http://schemas.openxmlformats.org/officeDocument/2006/customXml" ds:itemID="{61C26483-3204-4DA1-956B-1D8E9CF7E9F0}">
  <ds:schemaRefs/>
</ds:datastoreItem>
</file>

<file path=customXml/itemProps29.xml><?xml version="1.0" encoding="utf-8"?>
<ds:datastoreItem xmlns:ds="http://schemas.openxmlformats.org/officeDocument/2006/customXml" ds:itemID="{59F90A6C-7F6A-4544-AE5C-0A3160540D95}">
  <ds:schemaRefs/>
</ds:datastoreItem>
</file>

<file path=customXml/itemProps30.xml><?xml version="1.0" encoding="utf-8"?>
<ds:datastoreItem xmlns:ds="http://schemas.openxmlformats.org/officeDocument/2006/customXml" ds:itemID="{69699BAF-D279-4AD5-802F-1718C3DD9D27}">
  <ds:schemaRefs/>
</ds:datastoreItem>
</file>

<file path=customXml/itemProps31.xml><?xml version="1.0" encoding="utf-8"?>
<ds:datastoreItem xmlns:ds="http://schemas.openxmlformats.org/officeDocument/2006/customXml" ds:itemID="{0DCA242C-493E-450E-9076-63D6DF8B520C}">
  <ds:schemaRefs/>
</ds:datastoreItem>
</file>

<file path=customXml/itemProps32.xml><?xml version="1.0" encoding="utf-8"?>
<ds:datastoreItem xmlns:ds="http://schemas.openxmlformats.org/officeDocument/2006/customXml" ds:itemID="{50455B99-CE5C-405D-B2B7-E357F2A0530F}">
  <ds:schemaRefs/>
</ds:datastoreItem>
</file>

<file path=customXml/itemProps33.xml><?xml version="1.0" encoding="utf-8"?>
<ds:datastoreItem xmlns:ds="http://schemas.openxmlformats.org/officeDocument/2006/customXml" ds:itemID="{22709138-144D-435C-A29F-90FB2B4C06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Returns</vt:lpstr>
      <vt:lpstr>People</vt:lpstr>
      <vt:lpstr>Orders</vt:lpstr>
      <vt:lpstr>SMART Quiestion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hisham attalla</dc:creator>
  <cp:lastModifiedBy>ahmed hisham attalla</cp:lastModifiedBy>
  <dcterms:created xsi:type="dcterms:W3CDTF">2026-08-27T19:44:51Z</dcterms:created>
  <dcterms:modified xsi:type="dcterms:W3CDTF">2026-08-28T00:16:32Z</dcterms:modified>
</cp:coreProperties>
</file>